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6"/>
  <workbookPr/>
  <mc:AlternateContent xmlns:mc="http://schemas.openxmlformats.org/markup-compatibility/2006">
    <mc:Choice Requires="x15">
      <x15ac:absPath xmlns:x15ac="http://schemas.microsoft.com/office/spreadsheetml/2010/11/ac" url="D:\Febin\MMM Workshop\Model Building Files\Adstock Transformation Files\"/>
    </mc:Choice>
  </mc:AlternateContent>
  <xr:revisionPtr revIDLastSave="0" documentId="13_ncr:1_{5936E01B-4226-41BB-B8DB-49EABF261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metric Adstoc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K11" i="3"/>
  <c r="E13" i="3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J6" i="3"/>
  <c r="K12" i="3" l="1"/>
  <c r="K13" i="3" s="1"/>
  <c r="K14" i="3"/>
  <c r="K15" i="3" l="1"/>
  <c r="K16" i="3" l="1"/>
  <c r="K17" i="3" l="1"/>
  <c r="K18" i="3" l="1"/>
  <c r="K19" i="3" l="1"/>
  <c r="K20" i="3" l="1"/>
  <c r="K21" i="3" l="1"/>
  <c r="K22" i="3" l="1"/>
  <c r="K23" i="3" l="1"/>
  <c r="K24" i="3" l="1"/>
  <c r="K25" i="3" l="1"/>
  <c r="K26" i="3" l="1"/>
  <c r="K27" i="3" l="1"/>
  <c r="K28" i="3" l="1"/>
  <c r="K29" i="3" l="1"/>
  <c r="K30" i="3" l="1"/>
  <c r="K31" i="3" l="1"/>
  <c r="K32" i="3" l="1"/>
  <c r="K33" i="3" l="1"/>
  <c r="K34" i="3" l="1"/>
  <c r="K35" i="3" l="1"/>
  <c r="K36" i="3" l="1"/>
  <c r="K37" i="3" l="1"/>
  <c r="K38" i="3" l="1"/>
  <c r="K39" i="3" l="1"/>
  <c r="K40" i="3" l="1"/>
  <c r="K41" i="3" l="1"/>
  <c r="K42" i="3" l="1"/>
  <c r="K43" i="3" l="1"/>
  <c r="K44" i="3" l="1"/>
  <c r="K45" i="3" l="1"/>
  <c r="K46" i="3" l="1"/>
  <c r="K47" i="3" l="1"/>
  <c r="K48" i="3" l="1"/>
  <c r="K49" i="3" l="1"/>
  <c r="K50" i="3" l="1"/>
  <c r="K51" i="3" l="1"/>
  <c r="K52" i="3" l="1"/>
  <c r="K53" i="3" l="1"/>
  <c r="K54" i="3" l="1"/>
  <c r="K55" i="3" l="1"/>
  <c r="K56" i="3" l="1"/>
  <c r="K57" i="3" l="1"/>
  <c r="K58" i="3" l="1"/>
  <c r="K59" i="3" l="1"/>
  <c r="K60" i="3" l="1"/>
  <c r="K61" i="3" l="1"/>
  <c r="K62" i="3" l="1"/>
  <c r="K63" i="3" l="1"/>
  <c r="K64" i="3" l="1"/>
  <c r="K65" i="3" l="1"/>
  <c r="K66" i="3" l="1"/>
  <c r="K67" i="3" l="1"/>
  <c r="K68" i="3" l="1"/>
  <c r="K69" i="3" l="1"/>
  <c r="K70" i="3" l="1"/>
  <c r="K71" i="3" l="1"/>
  <c r="K72" i="3" l="1"/>
  <c r="K73" i="3" l="1"/>
  <c r="K74" i="3" l="1"/>
  <c r="K75" i="3" l="1"/>
  <c r="K76" i="3" l="1"/>
  <c r="K77" i="3" l="1"/>
  <c r="K78" i="3" l="1"/>
  <c r="K79" i="3" l="1"/>
  <c r="K80" i="3" l="1"/>
  <c r="K81" i="3" l="1"/>
  <c r="K82" i="3" l="1"/>
  <c r="K83" i="3" l="1"/>
  <c r="K84" i="3" l="1"/>
  <c r="K85" i="3" l="1"/>
  <c r="K86" i="3" l="1"/>
  <c r="K87" i="3" l="1"/>
  <c r="K88" i="3" l="1"/>
  <c r="K89" i="3" l="1"/>
  <c r="K90" i="3" l="1"/>
  <c r="K91" i="3" l="1"/>
  <c r="K92" i="3" l="1"/>
  <c r="K93" i="3" l="1"/>
  <c r="K94" i="3" l="1"/>
  <c r="K95" i="3" l="1"/>
  <c r="K96" i="3" l="1"/>
  <c r="K97" i="3" l="1"/>
  <c r="K98" i="3" l="1"/>
  <c r="K99" i="3" l="1"/>
  <c r="K100" i="3" l="1"/>
  <c r="K101" i="3" l="1"/>
  <c r="K102" i="3" l="1"/>
  <c r="K103" i="3" l="1"/>
  <c r="K104" i="3" l="1"/>
  <c r="K105" i="3" l="1"/>
  <c r="K106" i="3" l="1"/>
  <c r="K107" i="3" l="1"/>
  <c r="K108" i="3" l="1"/>
  <c r="K109" i="3" l="1"/>
  <c r="K110" i="3" l="1"/>
  <c r="K111" i="3" l="1"/>
  <c r="K112" i="3" l="1"/>
  <c r="K113" i="3" l="1"/>
  <c r="K114" i="3" l="1"/>
  <c r="K115" i="3" l="1"/>
  <c r="K116" i="3" l="1"/>
  <c r="K117" i="3" l="1"/>
  <c r="K118" i="3" l="1"/>
  <c r="K119" i="3" l="1"/>
  <c r="K120" i="3" l="1"/>
  <c r="K121" i="3" l="1"/>
  <c r="K122" i="3" l="1"/>
  <c r="K123" i="3" l="1"/>
  <c r="K124" i="3" l="1"/>
  <c r="K125" i="3" l="1"/>
  <c r="K126" i="3" l="1"/>
  <c r="K127" i="3" l="1"/>
  <c r="K128" i="3" l="1"/>
  <c r="K129" i="3" l="1"/>
  <c r="K130" i="3" l="1"/>
  <c r="K131" i="3" l="1"/>
  <c r="K132" i="3" l="1"/>
  <c r="K133" i="3" l="1"/>
  <c r="K134" i="3" l="1"/>
  <c r="K135" i="3" l="1"/>
  <c r="K136" i="3" l="1"/>
  <c r="K137" i="3" l="1"/>
  <c r="K138" i="3" l="1"/>
  <c r="K139" i="3" l="1"/>
  <c r="K140" i="3" l="1"/>
  <c r="K141" i="3" l="1"/>
  <c r="K142" i="3" l="1"/>
  <c r="K143" i="3" l="1"/>
  <c r="K144" i="3" l="1"/>
  <c r="K145" i="3" l="1"/>
  <c r="K146" i="3" l="1"/>
  <c r="K147" i="3" l="1"/>
  <c r="K148" i="3" l="1"/>
  <c r="K149" i="3" l="1"/>
  <c r="K150" i="3" l="1"/>
  <c r="K151" i="3" l="1"/>
  <c r="K152" i="3" l="1"/>
  <c r="K153" i="3" l="1"/>
  <c r="K154" i="3" l="1"/>
  <c r="K155" i="3" l="1"/>
  <c r="K156" i="3" l="1"/>
  <c r="K157" i="3" l="1"/>
  <c r="K158" i="3" l="1"/>
  <c r="K159" i="3" l="1"/>
  <c r="K160" i="3" l="1"/>
  <c r="K161" i="3" l="1"/>
  <c r="K162" i="3" l="1"/>
  <c r="K163" i="3" l="1"/>
  <c r="K164" i="3" l="1"/>
  <c r="K165" i="3" l="1"/>
  <c r="K166" i="3" l="1"/>
  <c r="K167" i="3" l="1"/>
  <c r="K169" i="3" l="1"/>
  <c r="J8" i="3" s="1"/>
  <c r="L11" i="3" s="1"/>
  <c r="K170" i="3"/>
  <c r="L159" i="3" l="1"/>
  <c r="L158" i="3"/>
  <c r="L157" i="3"/>
  <c r="L156" i="3"/>
  <c r="L155" i="3"/>
  <c r="L124" i="3"/>
  <c r="L123" i="3"/>
  <c r="L122" i="3"/>
  <c r="L121" i="3"/>
  <c r="L120" i="3"/>
  <c r="L48" i="3"/>
  <c r="L47" i="3"/>
  <c r="L44" i="3"/>
  <c r="L43" i="3"/>
  <c r="L40" i="3"/>
  <c r="L39" i="3"/>
  <c r="L37" i="3"/>
  <c r="L167" i="3"/>
  <c r="L166" i="3"/>
  <c r="L164" i="3"/>
  <c r="L163" i="3"/>
  <c r="L161" i="3"/>
  <c r="L119" i="3"/>
  <c r="L118" i="3"/>
  <c r="L117" i="3"/>
  <c r="L49" i="3"/>
  <c r="L45" i="3"/>
  <c r="L41" i="3"/>
  <c r="L116" i="3"/>
  <c r="L51" i="3"/>
  <c r="L50" i="3"/>
  <c r="L46" i="3"/>
  <c r="L42" i="3"/>
  <c r="L38" i="3"/>
  <c r="L165" i="3"/>
  <c r="L162" i="3"/>
  <c r="L160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6" i="3"/>
  <c r="L135" i="3"/>
  <c r="L134" i="3"/>
  <c r="L133" i="3"/>
  <c r="L132" i="3"/>
  <c r="L131" i="3"/>
  <c r="L129" i="3"/>
  <c r="L127" i="3"/>
  <c r="L125" i="3"/>
  <c r="L137" i="3"/>
  <c r="L130" i="3"/>
  <c r="L128" i="3"/>
  <c r="L12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60" i="3"/>
  <c r="L57" i="3"/>
  <c r="L54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59" i="3"/>
  <c r="L58" i="3"/>
  <c r="L56" i="3"/>
  <c r="L55" i="3"/>
  <c r="L53" i="3"/>
  <c r="L52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</calcChain>
</file>

<file path=xl/sharedStrings.xml><?xml version="1.0" encoding="utf-8"?>
<sst xmlns="http://schemas.openxmlformats.org/spreadsheetml/2006/main" count="20" uniqueCount="16">
  <si>
    <t>1-gamma</t>
  </si>
  <si>
    <t>gamma</t>
  </si>
  <si>
    <t>alpha</t>
  </si>
  <si>
    <t>theta</t>
  </si>
  <si>
    <t>inflexion</t>
  </si>
  <si>
    <t>decayed series</t>
  </si>
  <si>
    <t>MIN</t>
  </si>
  <si>
    <t>MAX</t>
  </si>
  <si>
    <t>Saturated Series</t>
  </si>
  <si>
    <t>No.</t>
  </si>
  <si>
    <t>n</t>
  </si>
  <si>
    <t>Geometric Adstock with Power Transformation</t>
  </si>
  <si>
    <t>Geometric Adstock with Hill Transformation</t>
  </si>
  <si>
    <t>transformed series</t>
  </si>
  <si>
    <t>Facebook Spends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</si>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</sst>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]\ ###\,###\,##0;[&gt;=100000]\ ###\,##0;\ 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A2E3-CB7F-4CF6-9B37-B23714D9BD85}">
  <dimension ref="B1:L170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7" sqref="G7"/>
    </sheetView>
  </sheetViews>
  <sheetFormatPr defaultRowHeight="14.4" x14ac:dyDescent="0.3"/>
  <cols>
    <col min="3" max="3" width="10.33203125" bestFit="1" customWidth="1"/>
    <col min="4" max="4" width="15.77734375" bestFit="1" customWidth="1"/>
    <col min="5" max="5" width="16.6640625" bestFit="1" customWidth="1"/>
    <col min="6" max="6" width="8.88671875" customWidth="1"/>
    <col min="9" max="9" width="10.33203125" bestFit="1" customWidth="1"/>
    <col min="10" max="10" width="15.77734375" bestFit="1" customWidth="1"/>
    <col min="11" max="11" width="13.33203125" bestFit="1" customWidth="1"/>
    <col min="12" max="12" width="14.6640625" bestFit="1" customWidth="1"/>
  </cols>
  <sheetData>
    <row r="1" spans="2:12" ht="15" thickBot="1" x14ac:dyDescent="0.35"/>
    <row r="2" spans="2:12" ht="15" thickBot="1" x14ac:dyDescent="0.35">
      <c r="B2" s="12" t="s">
        <v>11</v>
      </c>
      <c r="C2" s="13"/>
      <c r="D2" s="13"/>
      <c r="E2" s="14"/>
      <c r="F2" s="9"/>
      <c r="H2" s="12" t="s">
        <v>12</v>
      </c>
      <c r="I2" s="13"/>
      <c r="J2" s="13"/>
      <c r="K2" s="13"/>
      <c r="L2" s="14"/>
    </row>
    <row r="4" spans="2:12" x14ac:dyDescent="0.3">
      <c r="C4" s="1" t="s">
        <v>3</v>
      </c>
      <c r="D4" s="2">
        <v>0.3</v>
      </c>
      <c r="I4" s="1" t="s">
        <v>3</v>
      </c>
      <c r="J4" s="2">
        <v>0.11301687369000001</v>
      </c>
    </row>
    <row r="5" spans="2:12" x14ac:dyDescent="0.3">
      <c r="C5" s="1" t="s">
        <v>10</v>
      </c>
      <c r="D5" s="2">
        <v>0.5</v>
      </c>
      <c r="I5" s="1" t="s">
        <v>2</v>
      </c>
      <c r="J5" s="2">
        <v>2.3771897974999998</v>
      </c>
    </row>
    <row r="6" spans="2:12" x14ac:dyDescent="0.3">
      <c r="I6" s="1" t="s">
        <v>0</v>
      </c>
      <c r="J6" s="2">
        <f>1-J7</f>
        <v>0.41460997032000002</v>
      </c>
    </row>
    <row r="7" spans="2:12" x14ac:dyDescent="0.3">
      <c r="I7" s="1" t="s">
        <v>1</v>
      </c>
      <c r="J7" s="2">
        <v>0.58539002967999998</v>
      </c>
    </row>
    <row r="8" spans="2:12" x14ac:dyDescent="0.3">
      <c r="I8" s="1" t="s">
        <v>4</v>
      </c>
      <c r="J8" s="2">
        <f>SUMPRODUCT($J$6:$J$7,$K$169:$K$170)</f>
        <v>8199.5351112603512</v>
      </c>
    </row>
    <row r="9" spans="2:12" x14ac:dyDescent="0.3">
      <c r="B9" s="8"/>
      <c r="C9" s="8"/>
      <c r="D9" s="8"/>
      <c r="E9" s="8"/>
    </row>
    <row r="10" spans="2:12" x14ac:dyDescent="0.3">
      <c r="B10" s="1" t="s">
        <v>9</v>
      </c>
      <c r="C10" s="1" t="s">
        <v>15</v>
      </c>
      <c r="D10" s="1" t="s">
        <v>14</v>
      </c>
      <c r="E10" s="1" t="s">
        <v>13</v>
      </c>
      <c r="F10" s="10"/>
      <c r="H10" s="1" t="s">
        <v>9</v>
      </c>
      <c r="I10" s="1" t="s">
        <v>15</v>
      </c>
      <c r="J10" s="1" t="s">
        <v>14</v>
      </c>
      <c r="K10" s="1" t="s">
        <v>5</v>
      </c>
      <c r="L10" s="1" t="s">
        <v>8</v>
      </c>
    </row>
    <row r="11" spans="2:12" x14ac:dyDescent="0.3">
      <c r="B11" s="4">
        <v>1</v>
      </c>
      <c r="C11" s="5">
        <v>42373</v>
      </c>
      <c r="D11" s="6">
        <v>3623.0122328703301</v>
      </c>
      <c r="E11" s="6">
        <f>D11^D5</f>
        <v>60.191463122857634</v>
      </c>
      <c r="F11" s="11"/>
      <c r="H11" s="4">
        <v>1</v>
      </c>
      <c r="I11" s="5">
        <v>42373</v>
      </c>
      <c r="J11" s="6">
        <v>3623.0122328703301</v>
      </c>
      <c r="K11" s="6">
        <f>J11</f>
        <v>3623.0122328703301</v>
      </c>
      <c r="L11" s="7">
        <f>(K11^$J$5)/(K11^$J$5 + $J$8^$J$5)</f>
        <v>0.12546984976975792</v>
      </c>
    </row>
    <row r="12" spans="2:12" x14ac:dyDescent="0.3">
      <c r="B12" s="4">
        <v>2</v>
      </c>
      <c r="C12" s="5">
        <v>42380</v>
      </c>
      <c r="D12" s="6">
        <v>4129.8161531585001</v>
      </c>
      <c r="E12" s="6">
        <f>D12^$D$5+E11*$D$4</f>
        <v>82.321084594091047</v>
      </c>
      <c r="F12" s="11"/>
      <c r="H12" s="4">
        <v>2</v>
      </c>
      <c r="I12" s="5">
        <v>42380</v>
      </c>
      <c r="J12" s="6">
        <v>4129.8161531585001</v>
      </c>
      <c r="K12" s="6">
        <f>J12+K11*$J$4</f>
        <v>4539.2776690581313</v>
      </c>
      <c r="L12" s="7">
        <f t="shared" ref="L12:L42" si="0">(K12^$J$5)/(K12^$J$5 + $J$8^$J$5)</f>
        <v>0.19692027193737421</v>
      </c>
    </row>
    <row r="13" spans="2:12" x14ac:dyDescent="0.3">
      <c r="B13" s="4">
        <v>3</v>
      </c>
      <c r="C13" s="5">
        <v>42387</v>
      </c>
      <c r="D13" s="6">
        <v>3623.0122328703301</v>
      </c>
      <c r="E13" s="6">
        <f t="shared" ref="E13:E76" si="1">D13^$D$5+E12*$D$4</f>
        <v>84.887788501084941</v>
      </c>
      <c r="F13" s="11"/>
      <c r="H13" s="4">
        <v>3</v>
      </c>
      <c r="I13" s="5">
        <v>42387</v>
      </c>
      <c r="J13" s="6">
        <v>3623.0122328703301</v>
      </c>
      <c r="K13" s="6">
        <f>J13+K12*$J$4</f>
        <v>4136.0272038381108</v>
      </c>
      <c r="L13" s="7">
        <f t="shared" si="0"/>
        <v>0.16426779878782827</v>
      </c>
    </row>
    <row r="14" spans="2:12" x14ac:dyDescent="0.3">
      <c r="B14" s="4">
        <v>4</v>
      </c>
      <c r="C14" s="5">
        <v>42394</v>
      </c>
      <c r="D14" s="6">
        <v>3002.6905850796902</v>
      </c>
      <c r="E14" s="6">
        <f t="shared" si="1"/>
        <v>80.263148365244888</v>
      </c>
      <c r="F14" s="11"/>
      <c r="H14" s="4">
        <v>4</v>
      </c>
      <c r="I14" s="5">
        <v>42394</v>
      </c>
      <c r="J14" s="6">
        <v>3002.6905850796902</v>
      </c>
      <c r="K14" s="6">
        <f t="shared" ref="K14:K43" si="2">J14+K13*$J$4</f>
        <v>3470.1314491542657</v>
      </c>
      <c r="L14" s="7">
        <f t="shared" si="0"/>
        <v>0.11464890644528626</v>
      </c>
    </row>
    <row r="15" spans="2:12" x14ac:dyDescent="0.3">
      <c r="B15" s="4">
        <v>5</v>
      </c>
      <c r="C15" s="5">
        <v>42401</v>
      </c>
      <c r="D15" s="6">
        <v>0</v>
      </c>
      <c r="E15" s="6">
        <f t="shared" si="1"/>
        <v>24.078944509573464</v>
      </c>
      <c r="F15" s="11"/>
      <c r="H15" s="4">
        <v>5</v>
      </c>
      <c r="I15" s="5">
        <v>42401</v>
      </c>
      <c r="J15" s="6">
        <v>0</v>
      </c>
      <c r="K15" s="6">
        <f t="shared" si="2"/>
        <v>392.18340767676432</v>
      </c>
      <c r="L15" s="7">
        <f t="shared" si="0"/>
        <v>7.2624099388665772E-4</v>
      </c>
    </row>
    <row r="16" spans="2:12" x14ac:dyDescent="0.3">
      <c r="B16" s="4">
        <v>6</v>
      </c>
      <c r="C16" s="5">
        <v>42408</v>
      </c>
      <c r="D16" s="6">
        <v>3564.3821977866301</v>
      </c>
      <c r="E16" s="6">
        <f t="shared" si="1"/>
        <v>66.926130520359493</v>
      </c>
      <c r="F16" s="11"/>
      <c r="H16" s="4">
        <v>6</v>
      </c>
      <c r="I16" s="5">
        <v>42408</v>
      </c>
      <c r="J16" s="6">
        <v>3564.3821977866301</v>
      </c>
      <c r="K16" s="6">
        <f t="shared" si="2"/>
        <v>3608.7055404353487</v>
      </c>
      <c r="L16" s="7">
        <f t="shared" si="0"/>
        <v>0.12444141688834379</v>
      </c>
    </row>
    <row r="17" spans="2:12" x14ac:dyDescent="0.3">
      <c r="B17" s="4">
        <v>7</v>
      </c>
      <c r="C17" s="5">
        <v>42415</v>
      </c>
      <c r="D17" s="6">
        <v>1448.5977402309099</v>
      </c>
      <c r="E17" s="6">
        <f t="shared" si="1"/>
        <v>58.138287658863433</v>
      </c>
      <c r="F17" s="11"/>
      <c r="H17" s="4">
        <v>7</v>
      </c>
      <c r="I17" s="5">
        <v>42415</v>
      </c>
      <c r="J17" s="6">
        <v>1448.5977402309099</v>
      </c>
      <c r="K17" s="6">
        <f t="shared" si="2"/>
        <v>1856.442358478695</v>
      </c>
      <c r="L17" s="7">
        <f t="shared" si="0"/>
        <v>2.8439773950058058E-2</v>
      </c>
    </row>
    <row r="18" spans="2:12" x14ac:dyDescent="0.3">
      <c r="B18" s="4">
        <v>8</v>
      </c>
      <c r="C18" s="5">
        <v>42422</v>
      </c>
      <c r="D18" s="6">
        <v>0</v>
      </c>
      <c r="E18" s="6">
        <f t="shared" si="1"/>
        <v>17.441486297659029</v>
      </c>
      <c r="F18" s="11"/>
      <c r="H18" s="4">
        <v>8</v>
      </c>
      <c r="I18" s="5">
        <v>42422</v>
      </c>
      <c r="J18" s="6">
        <v>0</v>
      </c>
      <c r="K18" s="6">
        <f t="shared" si="2"/>
        <v>209.80931154095239</v>
      </c>
      <c r="L18" s="7">
        <f t="shared" si="0"/>
        <v>1.6425816196141352E-4</v>
      </c>
    </row>
    <row r="19" spans="2:12" x14ac:dyDescent="0.3">
      <c r="B19" s="4">
        <v>9</v>
      </c>
      <c r="C19" s="5">
        <v>42429</v>
      </c>
      <c r="D19" s="6">
        <v>2415.5964039805899</v>
      </c>
      <c r="E19" s="6">
        <f t="shared" si="1"/>
        <v>54.381163105320653</v>
      </c>
      <c r="F19" s="11"/>
      <c r="H19" s="4">
        <v>9</v>
      </c>
      <c r="I19" s="5">
        <v>42429</v>
      </c>
      <c r="J19" s="6">
        <v>2415.5964039805899</v>
      </c>
      <c r="K19" s="6">
        <f t="shared" si="2"/>
        <v>2439.3083964419998</v>
      </c>
      <c r="L19" s="7">
        <f t="shared" si="0"/>
        <v>5.3049733875954845E-2</v>
      </c>
    </row>
    <row r="20" spans="2:12" x14ac:dyDescent="0.3">
      <c r="B20" s="4">
        <v>10</v>
      </c>
      <c r="C20" s="5">
        <v>42436</v>
      </c>
      <c r="D20" s="6">
        <v>0</v>
      </c>
      <c r="E20" s="6">
        <f t="shared" si="1"/>
        <v>16.314348931596196</v>
      </c>
      <c r="F20" s="11"/>
      <c r="H20" s="4">
        <v>10</v>
      </c>
      <c r="I20" s="5">
        <v>42436</v>
      </c>
      <c r="J20" s="6">
        <v>0</v>
      </c>
      <c r="K20" s="6">
        <f t="shared" si="2"/>
        <v>275.68300893164195</v>
      </c>
      <c r="L20" s="7">
        <f t="shared" si="0"/>
        <v>3.1431231821420506E-4</v>
      </c>
    </row>
    <row r="21" spans="2:12" x14ac:dyDescent="0.3">
      <c r="B21" s="4">
        <v>11</v>
      </c>
      <c r="C21" s="5">
        <v>42443</v>
      </c>
      <c r="D21" s="6">
        <v>0</v>
      </c>
      <c r="E21" s="6">
        <f t="shared" si="1"/>
        <v>4.8943046794788589</v>
      </c>
      <c r="F21" s="11"/>
      <c r="H21" s="4">
        <v>11</v>
      </c>
      <c r="I21" s="5">
        <v>42443</v>
      </c>
      <c r="J21" s="6">
        <v>0</v>
      </c>
      <c r="K21" s="6">
        <f t="shared" si="2"/>
        <v>31.15683179890652</v>
      </c>
      <c r="L21" s="7">
        <f t="shared" si="0"/>
        <v>1.7645706411716937E-6</v>
      </c>
    </row>
    <row r="22" spans="2:12" x14ac:dyDescent="0.3">
      <c r="B22" s="4">
        <v>12</v>
      </c>
      <c r="C22" s="5">
        <v>42450</v>
      </c>
      <c r="D22" s="6">
        <v>0</v>
      </c>
      <c r="E22" s="6">
        <f t="shared" si="1"/>
        <v>1.4682914038436576</v>
      </c>
      <c r="F22" s="11"/>
      <c r="H22" s="4">
        <v>12</v>
      </c>
      <c r="I22" s="5">
        <v>42450</v>
      </c>
      <c r="J22" s="6">
        <v>0</v>
      </c>
      <c r="K22" s="6">
        <f t="shared" si="2"/>
        <v>3.5212477239975937</v>
      </c>
      <c r="L22" s="7">
        <f t="shared" si="0"/>
        <v>9.9033402272420854E-9</v>
      </c>
    </row>
    <row r="23" spans="2:12" x14ac:dyDescent="0.3">
      <c r="B23" s="4">
        <v>13</v>
      </c>
      <c r="C23" s="5">
        <v>42457</v>
      </c>
      <c r="D23" s="6">
        <v>6471.0484051946296</v>
      </c>
      <c r="E23" s="6">
        <f t="shared" si="1"/>
        <v>80.883314355533201</v>
      </c>
      <c r="F23" s="11"/>
      <c r="H23" s="4">
        <v>13</v>
      </c>
      <c r="I23" s="5">
        <v>42457</v>
      </c>
      <c r="J23" s="6">
        <v>6471.0484051946296</v>
      </c>
      <c r="K23" s="6">
        <f t="shared" si="2"/>
        <v>6471.4463656038843</v>
      </c>
      <c r="L23" s="7">
        <f t="shared" si="0"/>
        <v>0.36293958345518179</v>
      </c>
    </row>
    <row r="24" spans="2:12" x14ac:dyDescent="0.3">
      <c r="B24" s="4">
        <v>14</v>
      </c>
      <c r="C24" s="5">
        <v>42464</v>
      </c>
      <c r="D24" s="6">
        <v>20.837311403842499</v>
      </c>
      <c r="E24" s="6">
        <f t="shared" si="1"/>
        <v>28.829784707526414</v>
      </c>
      <c r="F24" s="11"/>
      <c r="H24" s="4">
        <v>14</v>
      </c>
      <c r="I24" s="5">
        <v>42464</v>
      </c>
      <c r="J24" s="6">
        <v>20.837311403842499</v>
      </c>
      <c r="K24" s="6">
        <f t="shared" si="2"/>
        <v>752.21994789690621</v>
      </c>
      <c r="L24" s="7">
        <f t="shared" si="0"/>
        <v>3.4065582570319119E-3</v>
      </c>
    </row>
    <row r="25" spans="2:12" x14ac:dyDescent="0.3">
      <c r="B25" s="4">
        <v>15</v>
      </c>
      <c r="C25" s="5">
        <v>42471</v>
      </c>
      <c r="D25" s="6">
        <v>0</v>
      </c>
      <c r="E25" s="6">
        <f t="shared" si="1"/>
        <v>8.6489354122579236</v>
      </c>
      <c r="F25" s="11"/>
      <c r="H25" s="4">
        <v>15</v>
      </c>
      <c r="I25" s="5">
        <v>42471</v>
      </c>
      <c r="J25" s="6">
        <v>0</v>
      </c>
      <c r="K25" s="6">
        <f t="shared" si="2"/>
        <v>85.01354683856303</v>
      </c>
      <c r="L25" s="7">
        <f t="shared" si="0"/>
        <v>1.9183654858642105E-5</v>
      </c>
    </row>
    <row r="26" spans="2:12" x14ac:dyDescent="0.3">
      <c r="B26" s="4">
        <v>16</v>
      </c>
      <c r="C26" s="5">
        <v>42478</v>
      </c>
      <c r="D26" s="6">
        <v>2348.6878533048198</v>
      </c>
      <c r="E26" s="6">
        <f t="shared" si="1"/>
        <v>51.057943548338358</v>
      </c>
      <c r="F26" s="11"/>
      <c r="H26" s="4">
        <v>16</v>
      </c>
      <c r="I26" s="5">
        <v>42478</v>
      </c>
      <c r="J26" s="6">
        <v>2348.6878533048198</v>
      </c>
      <c r="K26" s="6">
        <f t="shared" si="2"/>
        <v>2358.2958185898124</v>
      </c>
      <c r="L26" s="7">
        <f t="shared" si="0"/>
        <v>4.9158059119521723E-2</v>
      </c>
    </row>
    <row r="27" spans="2:12" x14ac:dyDescent="0.3">
      <c r="B27" s="4">
        <v>17</v>
      </c>
      <c r="C27" s="5">
        <v>42485</v>
      </c>
      <c r="D27" s="6">
        <v>0</v>
      </c>
      <c r="E27" s="6">
        <f t="shared" si="1"/>
        <v>15.317383064501506</v>
      </c>
      <c r="F27" s="11"/>
      <c r="H27" s="4">
        <v>17</v>
      </c>
      <c r="I27" s="5">
        <v>42485</v>
      </c>
      <c r="J27" s="6">
        <v>0</v>
      </c>
      <c r="K27" s="6">
        <f t="shared" si="2"/>
        <v>266.52722065322001</v>
      </c>
      <c r="L27" s="7">
        <f t="shared" si="0"/>
        <v>2.9006965067321594E-4</v>
      </c>
    </row>
    <row r="28" spans="2:12" x14ac:dyDescent="0.3">
      <c r="B28" s="4">
        <v>18</v>
      </c>
      <c r="C28" s="5">
        <v>42492</v>
      </c>
      <c r="D28" s="6">
        <v>0</v>
      </c>
      <c r="E28" s="6">
        <f t="shared" si="1"/>
        <v>4.5952149193504512</v>
      </c>
      <c r="F28" s="11"/>
      <c r="H28" s="4">
        <v>18</v>
      </c>
      <c r="I28" s="5">
        <v>42492</v>
      </c>
      <c r="J28" s="6">
        <v>0</v>
      </c>
      <c r="K28" s="6">
        <f t="shared" si="2"/>
        <v>30.122073231511727</v>
      </c>
      <c r="L28" s="7">
        <f t="shared" si="0"/>
        <v>1.6284313955344986E-6</v>
      </c>
    </row>
    <row r="29" spans="2:12" x14ac:dyDescent="0.3">
      <c r="B29" s="4">
        <v>19</v>
      </c>
      <c r="C29" s="5">
        <v>42499</v>
      </c>
      <c r="D29" s="6">
        <v>0</v>
      </c>
      <c r="E29" s="6">
        <f t="shared" si="1"/>
        <v>1.3785644758051354</v>
      </c>
      <c r="F29" s="11"/>
      <c r="H29" s="4">
        <v>19</v>
      </c>
      <c r="I29" s="5">
        <v>42499</v>
      </c>
      <c r="J29" s="6">
        <v>0</v>
      </c>
      <c r="K29" s="6">
        <f t="shared" si="2"/>
        <v>3.4043025456866913</v>
      </c>
      <c r="L29" s="7">
        <f t="shared" si="0"/>
        <v>9.1392815834254681E-9</v>
      </c>
    </row>
    <row r="30" spans="2:12" x14ac:dyDescent="0.3">
      <c r="B30" s="4">
        <v>20</v>
      </c>
      <c r="C30" s="5">
        <v>42506</v>
      </c>
      <c r="D30" s="6">
        <v>3673.9307739778301</v>
      </c>
      <c r="E30" s="6">
        <f t="shared" si="1"/>
        <v>61.026528138512518</v>
      </c>
      <c r="F30" s="11"/>
      <c r="H30" s="4">
        <v>20</v>
      </c>
      <c r="I30" s="5">
        <v>42506</v>
      </c>
      <c r="J30" s="6">
        <v>3673.9307739778301</v>
      </c>
      <c r="K30" s="6">
        <f t="shared" si="2"/>
        <v>3674.3155176086384</v>
      </c>
      <c r="L30" s="7">
        <f t="shared" si="0"/>
        <v>0.12918372057972294</v>
      </c>
    </row>
    <row r="31" spans="2:12" x14ac:dyDescent="0.3">
      <c r="B31" s="4">
        <v>21</v>
      </c>
      <c r="C31" s="5">
        <v>42513</v>
      </c>
      <c r="D31" s="6">
        <v>0</v>
      </c>
      <c r="E31" s="6">
        <f t="shared" si="1"/>
        <v>18.307958441553755</v>
      </c>
      <c r="F31" s="11"/>
      <c r="H31" s="4">
        <v>21</v>
      </c>
      <c r="I31" s="5">
        <v>42513</v>
      </c>
      <c r="J31" s="6">
        <v>0</v>
      </c>
      <c r="K31" s="6">
        <f t="shared" si="2"/>
        <v>415.25965275078249</v>
      </c>
      <c r="L31" s="7">
        <f t="shared" si="0"/>
        <v>8.3188195754812361E-4</v>
      </c>
    </row>
    <row r="32" spans="2:12" x14ac:dyDescent="0.3">
      <c r="B32" s="4">
        <v>22</v>
      </c>
      <c r="C32" s="5">
        <v>42520</v>
      </c>
      <c r="D32" s="6">
        <v>0</v>
      </c>
      <c r="E32" s="6">
        <f t="shared" si="1"/>
        <v>5.4923875324661262</v>
      </c>
      <c r="F32" s="11"/>
      <c r="H32" s="4">
        <v>22</v>
      </c>
      <c r="I32" s="5">
        <v>42520</v>
      </c>
      <c r="J32" s="6">
        <v>0</v>
      </c>
      <c r="K32" s="6">
        <f t="shared" si="2"/>
        <v>46.93134772348845</v>
      </c>
      <c r="L32" s="7">
        <f t="shared" si="0"/>
        <v>4.6726472479415228E-6</v>
      </c>
    </row>
    <row r="33" spans="2:12" x14ac:dyDescent="0.3">
      <c r="B33" s="4">
        <v>23</v>
      </c>
      <c r="C33" s="5">
        <v>42527</v>
      </c>
      <c r="D33" s="6">
        <v>0</v>
      </c>
      <c r="E33" s="6">
        <f t="shared" si="1"/>
        <v>1.6477162597398378</v>
      </c>
      <c r="F33" s="11"/>
      <c r="H33" s="4">
        <v>23</v>
      </c>
      <c r="I33" s="5">
        <v>42527</v>
      </c>
      <c r="J33" s="6">
        <v>0</v>
      </c>
      <c r="K33" s="6">
        <f t="shared" si="2"/>
        <v>5.3040341977669634</v>
      </c>
      <c r="L33" s="7">
        <f t="shared" si="0"/>
        <v>2.6224481012333612E-8</v>
      </c>
    </row>
    <row r="34" spans="2:12" x14ac:dyDescent="0.3">
      <c r="B34" s="4">
        <v>24</v>
      </c>
      <c r="C34" s="5">
        <v>42534</v>
      </c>
      <c r="D34" s="6">
        <v>0</v>
      </c>
      <c r="E34" s="6">
        <f t="shared" si="1"/>
        <v>0.49431487792195133</v>
      </c>
      <c r="F34" s="11"/>
      <c r="H34" s="4">
        <v>24</v>
      </c>
      <c r="I34" s="5">
        <v>42534</v>
      </c>
      <c r="J34" s="6">
        <v>0</v>
      </c>
      <c r="K34" s="6">
        <f t="shared" si="2"/>
        <v>0.59944536297646944</v>
      </c>
      <c r="L34" s="7">
        <f t="shared" si="0"/>
        <v>1.4718000104744343E-10</v>
      </c>
    </row>
    <row r="35" spans="2:12" x14ac:dyDescent="0.3">
      <c r="B35" s="4">
        <v>25</v>
      </c>
      <c r="C35" s="5">
        <v>42541</v>
      </c>
      <c r="D35" s="6">
        <v>2553.1558479970499</v>
      </c>
      <c r="E35" s="6">
        <f t="shared" si="1"/>
        <v>50.67705704467329</v>
      </c>
      <c r="F35" s="11"/>
      <c r="H35" s="4">
        <v>25</v>
      </c>
      <c r="I35" s="5">
        <v>42541</v>
      </c>
      <c r="J35" s="6">
        <v>2553.1558479970499</v>
      </c>
      <c r="K35" s="6">
        <f t="shared" si="2"/>
        <v>2553.2235954379216</v>
      </c>
      <c r="L35" s="7">
        <f t="shared" si="0"/>
        <v>5.8772177446827008E-2</v>
      </c>
    </row>
    <row r="36" spans="2:12" x14ac:dyDescent="0.3">
      <c r="B36" s="4">
        <v>26</v>
      </c>
      <c r="C36" s="5">
        <v>42548</v>
      </c>
      <c r="D36" s="6">
        <v>0</v>
      </c>
      <c r="E36" s="6">
        <f t="shared" si="1"/>
        <v>15.203117113401987</v>
      </c>
      <c r="F36" s="11"/>
      <c r="H36" s="4">
        <v>26</v>
      </c>
      <c r="I36" s="5">
        <v>42548</v>
      </c>
      <c r="J36" s="6">
        <v>0</v>
      </c>
      <c r="K36" s="6">
        <f t="shared" si="2"/>
        <v>288.55734858793528</v>
      </c>
      <c r="L36" s="7">
        <f t="shared" si="0"/>
        <v>3.5032146119422968E-4</v>
      </c>
    </row>
    <row r="37" spans="2:12" x14ac:dyDescent="0.3">
      <c r="B37" s="4">
        <v>27</v>
      </c>
      <c r="C37" s="5">
        <v>42555</v>
      </c>
      <c r="D37" s="6">
        <v>0</v>
      </c>
      <c r="E37" s="6">
        <f t="shared" si="1"/>
        <v>4.5609351340205961</v>
      </c>
      <c r="F37" s="11"/>
      <c r="H37" s="4">
        <v>27</v>
      </c>
      <c r="I37" s="5">
        <v>42555</v>
      </c>
      <c r="J37" s="6">
        <v>0</v>
      </c>
      <c r="K37" s="6">
        <f t="shared" si="2"/>
        <v>32.611849417683985</v>
      </c>
      <c r="L37" s="7">
        <f t="shared" si="0"/>
        <v>1.9667988558510629E-6</v>
      </c>
    </row>
    <row r="38" spans="2:12" x14ac:dyDescent="0.3">
      <c r="B38" s="4">
        <v>28</v>
      </c>
      <c r="C38" s="5">
        <v>42562</v>
      </c>
      <c r="D38" s="6">
        <v>0</v>
      </c>
      <c r="E38" s="6">
        <f t="shared" si="1"/>
        <v>1.3682805402061788</v>
      </c>
      <c r="F38" s="11"/>
      <c r="H38" s="4">
        <v>28</v>
      </c>
      <c r="I38" s="5">
        <v>42562</v>
      </c>
      <c r="J38" s="6">
        <v>0</v>
      </c>
      <c r="K38" s="6">
        <f t="shared" si="2"/>
        <v>3.6856892664356913</v>
      </c>
      <c r="L38" s="7">
        <f t="shared" si="0"/>
        <v>1.1038312488293167E-8</v>
      </c>
    </row>
    <row r="39" spans="2:12" x14ac:dyDescent="0.3">
      <c r="B39" s="4">
        <v>29</v>
      </c>
      <c r="C39" s="5">
        <v>42569</v>
      </c>
      <c r="D39" s="6">
        <v>3552.8149568223698</v>
      </c>
      <c r="E39" s="6">
        <f t="shared" si="1"/>
        <v>60.015978513022233</v>
      </c>
      <c r="F39" s="11"/>
      <c r="H39" s="4">
        <v>29</v>
      </c>
      <c r="I39" s="5">
        <v>42569</v>
      </c>
      <c r="J39" s="6">
        <v>3552.8149568223698</v>
      </c>
      <c r="K39" s="6">
        <f t="shared" si="2"/>
        <v>3553.2315019006551</v>
      </c>
      <c r="L39" s="7">
        <f t="shared" si="0"/>
        <v>0.12048412397812916</v>
      </c>
    </row>
    <row r="40" spans="2:12" x14ac:dyDescent="0.3">
      <c r="B40" s="4">
        <v>30</v>
      </c>
      <c r="C40" s="5">
        <v>42576</v>
      </c>
      <c r="D40" s="6">
        <v>0</v>
      </c>
      <c r="E40" s="6">
        <f t="shared" si="1"/>
        <v>18.004793553906669</v>
      </c>
      <c r="F40" s="11"/>
      <c r="H40" s="4">
        <v>30</v>
      </c>
      <c r="I40" s="5">
        <v>42576</v>
      </c>
      <c r="J40" s="6">
        <v>0</v>
      </c>
      <c r="K40" s="6">
        <f t="shared" si="2"/>
        <v>401.57511584163535</v>
      </c>
      <c r="L40" s="7">
        <f t="shared" si="0"/>
        <v>7.6823530314076871E-4</v>
      </c>
    </row>
    <row r="41" spans="2:12" x14ac:dyDescent="0.3">
      <c r="B41" s="4">
        <v>31</v>
      </c>
      <c r="C41" s="5">
        <v>42583</v>
      </c>
      <c r="D41" s="6">
        <v>5102.0314157744297</v>
      </c>
      <c r="E41" s="6">
        <f t="shared" si="1"/>
        <v>76.82994369084841</v>
      </c>
      <c r="F41" s="11"/>
      <c r="H41" s="4">
        <v>31</v>
      </c>
      <c r="I41" s="5">
        <v>42583</v>
      </c>
      <c r="J41" s="6">
        <v>5102.0314157744297</v>
      </c>
      <c r="K41" s="6">
        <f t="shared" si="2"/>
        <v>5147.4161799185513</v>
      </c>
      <c r="L41" s="7">
        <f t="shared" si="0"/>
        <v>0.24847202586532383</v>
      </c>
    </row>
    <row r="42" spans="2:12" x14ac:dyDescent="0.3">
      <c r="B42" s="4">
        <v>32</v>
      </c>
      <c r="C42" s="5">
        <v>42590</v>
      </c>
      <c r="D42" s="6">
        <v>0</v>
      </c>
      <c r="E42" s="6">
        <f t="shared" si="1"/>
        <v>23.048983107254521</v>
      </c>
      <c r="F42" s="11"/>
      <c r="H42" s="4">
        <v>32</v>
      </c>
      <c r="I42" s="5">
        <v>42590</v>
      </c>
      <c r="J42" s="6">
        <v>0</v>
      </c>
      <c r="K42" s="6">
        <f t="shared" si="2"/>
        <v>581.74488423571722</v>
      </c>
      <c r="L42" s="7">
        <f t="shared" si="0"/>
        <v>1.8521200228368737E-3</v>
      </c>
    </row>
    <row r="43" spans="2:12" x14ac:dyDescent="0.3">
      <c r="B43" s="4">
        <v>33</v>
      </c>
      <c r="C43" s="5">
        <v>42597</v>
      </c>
      <c r="D43" s="6">
        <v>1011.87769166753</v>
      </c>
      <c r="E43" s="6">
        <f t="shared" si="1"/>
        <v>38.724719950518136</v>
      </c>
      <c r="F43" s="11"/>
      <c r="H43" s="4">
        <v>33</v>
      </c>
      <c r="I43" s="5">
        <v>42597</v>
      </c>
      <c r="J43" s="6">
        <v>1011.87769166753</v>
      </c>
      <c r="K43" s="6">
        <f t="shared" si="2"/>
        <v>1077.6246797690017</v>
      </c>
      <c r="L43" s="7">
        <f t="shared" ref="L43:L74" si="3">(K43^$J$5)/(K43^$J$5 + $J$8^$J$5)</f>
        <v>7.9699550123222915E-3</v>
      </c>
    </row>
    <row r="44" spans="2:12" x14ac:dyDescent="0.3">
      <c r="B44" s="4">
        <v>34</v>
      </c>
      <c r="C44" s="5">
        <v>42604</v>
      </c>
      <c r="D44" s="6">
        <v>641.83938513354997</v>
      </c>
      <c r="E44" s="6">
        <f t="shared" si="1"/>
        <v>36.951965223962709</v>
      </c>
      <c r="F44" s="11"/>
      <c r="H44" s="4">
        <v>34</v>
      </c>
      <c r="I44" s="5">
        <v>42604</v>
      </c>
      <c r="J44" s="6">
        <v>641.83938513354997</v>
      </c>
      <c r="K44" s="6">
        <f t="shared" ref="K44:K75" si="4">J44+K43*$J$4</f>
        <v>763.62915745222995</v>
      </c>
      <c r="L44" s="7">
        <f t="shared" si="3"/>
        <v>3.5302313963273273E-3</v>
      </c>
    </row>
    <row r="45" spans="2:12" x14ac:dyDescent="0.3">
      <c r="B45" s="4">
        <v>35</v>
      </c>
      <c r="C45" s="5">
        <v>42611</v>
      </c>
      <c r="D45" s="6">
        <v>0</v>
      </c>
      <c r="E45" s="6">
        <f t="shared" si="1"/>
        <v>11.085589567188812</v>
      </c>
      <c r="F45" s="11"/>
      <c r="H45" s="4">
        <v>35</v>
      </c>
      <c r="I45" s="5">
        <v>42611</v>
      </c>
      <c r="J45" s="6">
        <v>0</v>
      </c>
      <c r="K45" s="6">
        <f t="shared" si="4"/>
        <v>86.302980033779804</v>
      </c>
      <c r="L45" s="7">
        <f t="shared" si="3"/>
        <v>1.9882559869925903E-5</v>
      </c>
    </row>
    <row r="46" spans="2:12" x14ac:dyDescent="0.3">
      <c r="B46" s="4">
        <v>36</v>
      </c>
      <c r="C46" s="5">
        <v>42618</v>
      </c>
      <c r="D46" s="6">
        <v>62.796910980174303</v>
      </c>
      <c r="E46" s="6">
        <f t="shared" si="1"/>
        <v>11.25012707065474</v>
      </c>
      <c r="F46" s="11"/>
      <c r="H46" s="4">
        <v>36</v>
      </c>
      <c r="I46" s="5">
        <v>42618</v>
      </c>
      <c r="J46" s="6">
        <v>62.796910980174303</v>
      </c>
      <c r="K46" s="6">
        <f t="shared" si="4"/>
        <v>72.550603973722588</v>
      </c>
      <c r="L46" s="7">
        <f t="shared" si="3"/>
        <v>1.3160468080631512E-5</v>
      </c>
    </row>
    <row r="47" spans="2:12" x14ac:dyDescent="0.3">
      <c r="B47" s="4">
        <v>37</v>
      </c>
      <c r="C47" s="5">
        <v>42625</v>
      </c>
      <c r="D47" s="6">
        <v>0</v>
      </c>
      <c r="E47" s="6">
        <f t="shared" si="1"/>
        <v>3.3750381211964218</v>
      </c>
      <c r="F47" s="11"/>
      <c r="H47" s="4">
        <v>37</v>
      </c>
      <c r="I47" s="5">
        <v>42625</v>
      </c>
      <c r="J47" s="6">
        <v>0</v>
      </c>
      <c r="K47" s="6">
        <f t="shared" si="4"/>
        <v>8.1994424454314174</v>
      </c>
      <c r="L47" s="7">
        <f t="shared" si="3"/>
        <v>7.3861633448788597E-8</v>
      </c>
    </row>
    <row r="48" spans="2:12" x14ac:dyDescent="0.3">
      <c r="B48" s="4">
        <v>38</v>
      </c>
      <c r="C48" s="5">
        <v>42632</v>
      </c>
      <c r="D48" s="6">
        <v>4537.6180993111702</v>
      </c>
      <c r="E48" s="6">
        <f t="shared" si="1"/>
        <v>68.374355972499487</v>
      </c>
      <c r="F48" s="11"/>
      <c r="H48" s="4">
        <v>38</v>
      </c>
      <c r="I48" s="5">
        <v>42632</v>
      </c>
      <c r="J48" s="6">
        <v>4537.6180993111702</v>
      </c>
      <c r="K48" s="6">
        <f t="shared" si="4"/>
        <v>4538.544774662354</v>
      </c>
      <c r="L48" s="7">
        <f t="shared" si="3"/>
        <v>0.19685957704646947</v>
      </c>
    </row>
    <row r="49" spans="2:12" x14ac:dyDescent="0.3">
      <c r="B49" s="4">
        <v>39</v>
      </c>
      <c r="C49" s="5">
        <v>42639</v>
      </c>
      <c r="D49" s="6">
        <v>0</v>
      </c>
      <c r="E49" s="6">
        <f t="shared" si="1"/>
        <v>20.512306791749847</v>
      </c>
      <c r="F49" s="11"/>
      <c r="H49" s="4">
        <v>39</v>
      </c>
      <c r="I49" s="5">
        <v>42639</v>
      </c>
      <c r="J49" s="6">
        <v>0</v>
      </c>
      <c r="K49" s="6">
        <f t="shared" si="4"/>
        <v>512.93214153442477</v>
      </c>
      <c r="L49" s="7">
        <f t="shared" si="3"/>
        <v>1.3737570228376525E-3</v>
      </c>
    </row>
    <row r="50" spans="2:12" x14ac:dyDescent="0.3">
      <c r="B50" s="4">
        <v>40</v>
      </c>
      <c r="C50" s="5">
        <v>42646</v>
      </c>
      <c r="D50" s="6">
        <v>3147.1676928100901</v>
      </c>
      <c r="E50" s="6">
        <f t="shared" si="1"/>
        <v>62.253314966828945</v>
      </c>
      <c r="F50" s="11"/>
      <c r="H50" s="4">
        <v>40</v>
      </c>
      <c r="I50" s="5">
        <v>42646</v>
      </c>
      <c r="J50" s="6">
        <v>3147.1676928100901</v>
      </c>
      <c r="K50" s="6">
        <f t="shared" si="4"/>
        <v>3205.1376798614274</v>
      </c>
      <c r="L50" s="7">
        <f t="shared" si="3"/>
        <v>9.6830549206734451E-2</v>
      </c>
    </row>
    <row r="51" spans="2:12" x14ac:dyDescent="0.3">
      <c r="B51" s="4">
        <v>41</v>
      </c>
      <c r="C51" s="5">
        <v>42653</v>
      </c>
      <c r="D51" s="6">
        <v>3614.1666956623299</v>
      </c>
      <c r="E51" s="6">
        <f t="shared" si="1"/>
        <v>78.79393437210328</v>
      </c>
      <c r="F51" s="11"/>
      <c r="H51" s="4">
        <v>41</v>
      </c>
      <c r="I51" s="5">
        <v>42653</v>
      </c>
      <c r="J51" s="6">
        <v>3614.1666956623299</v>
      </c>
      <c r="K51" s="6">
        <f t="shared" si="4"/>
        <v>3976.4013359862884</v>
      </c>
      <c r="L51" s="7">
        <f t="shared" si="3"/>
        <v>0.15182314877415104</v>
      </c>
    </row>
    <row r="52" spans="2:12" x14ac:dyDescent="0.3">
      <c r="B52" s="4">
        <v>42</v>
      </c>
      <c r="C52" s="5">
        <v>42660</v>
      </c>
      <c r="D52" s="6">
        <v>5324.4172935289998</v>
      </c>
      <c r="E52" s="6">
        <f t="shared" si="1"/>
        <v>96.60678516007934</v>
      </c>
      <c r="F52" s="11"/>
      <c r="H52" s="4">
        <v>42</v>
      </c>
      <c r="I52" s="5">
        <v>42660</v>
      </c>
      <c r="J52" s="6">
        <v>5324.4172935289998</v>
      </c>
      <c r="K52" s="6">
        <f t="shared" si="4"/>
        <v>5773.8177410589096</v>
      </c>
      <c r="L52" s="7">
        <f t="shared" si="3"/>
        <v>0.30284536311813193</v>
      </c>
    </row>
    <row r="53" spans="2:12" x14ac:dyDescent="0.3">
      <c r="B53" s="4">
        <v>43</v>
      </c>
      <c r="C53" s="5">
        <v>42667</v>
      </c>
      <c r="D53" s="6">
        <v>5865.9229367100297</v>
      </c>
      <c r="E53" s="6">
        <f t="shared" si="1"/>
        <v>105.57134901086945</v>
      </c>
      <c r="F53" s="11"/>
      <c r="H53" s="4">
        <v>43</v>
      </c>
      <c r="I53" s="5">
        <v>42667</v>
      </c>
      <c r="J53" s="6">
        <v>5865.9229367100297</v>
      </c>
      <c r="K53" s="6">
        <f t="shared" si="4"/>
        <v>6518.4617670603657</v>
      </c>
      <c r="L53" s="7">
        <f t="shared" si="3"/>
        <v>0.36692762379086452</v>
      </c>
    </row>
    <row r="54" spans="2:12" x14ac:dyDescent="0.3">
      <c r="B54" s="4">
        <v>44</v>
      </c>
      <c r="C54" s="5">
        <v>42674</v>
      </c>
      <c r="D54" s="6">
        <v>6407.4285798910696</v>
      </c>
      <c r="E54" s="6">
        <f t="shared" si="1"/>
        <v>111.71781986278606</v>
      </c>
      <c r="F54" s="11"/>
      <c r="H54" s="4">
        <v>44</v>
      </c>
      <c r="I54" s="5">
        <v>42674</v>
      </c>
      <c r="J54" s="6">
        <v>6407.4285798910696</v>
      </c>
      <c r="K54" s="6">
        <f t="shared" si="4"/>
        <v>7144.1247500720256</v>
      </c>
      <c r="L54" s="7">
        <f t="shared" si="3"/>
        <v>0.41883778635184071</v>
      </c>
    </row>
    <row r="55" spans="2:12" x14ac:dyDescent="0.3">
      <c r="B55" s="4">
        <v>45</v>
      </c>
      <c r="C55" s="5">
        <v>42681</v>
      </c>
      <c r="D55" s="6">
        <v>6954.9446522006001</v>
      </c>
      <c r="E55" s="6">
        <f t="shared" si="1"/>
        <v>116.91165674175116</v>
      </c>
      <c r="F55" s="11"/>
      <c r="H55" s="4">
        <v>45</v>
      </c>
      <c r="I55" s="5">
        <v>42681</v>
      </c>
      <c r="J55" s="6">
        <v>6954.9446522006001</v>
      </c>
      <c r="K55" s="6">
        <f t="shared" si="4"/>
        <v>7762.3512967050929</v>
      </c>
      <c r="L55" s="7">
        <f t="shared" si="3"/>
        <v>0.46748311293875849</v>
      </c>
    </row>
    <row r="56" spans="2:12" x14ac:dyDescent="0.3">
      <c r="B56" s="4">
        <v>46</v>
      </c>
      <c r="C56" s="5">
        <v>42688</v>
      </c>
      <c r="D56" s="6">
        <v>5332.0153831819998</v>
      </c>
      <c r="E56" s="6">
        <f t="shared" si="1"/>
        <v>108.09414741117909</v>
      </c>
      <c r="F56" s="11"/>
      <c r="H56" s="4">
        <v>46</v>
      </c>
      <c r="I56" s="5">
        <v>42688</v>
      </c>
      <c r="J56" s="6">
        <v>5332.0153831819998</v>
      </c>
      <c r="K56" s="6">
        <f t="shared" si="4"/>
        <v>6209.2920592191267</v>
      </c>
      <c r="L56" s="7">
        <f t="shared" si="3"/>
        <v>0.34053040899710407</v>
      </c>
    </row>
    <row r="57" spans="2:12" x14ac:dyDescent="0.3">
      <c r="B57" s="4">
        <v>47</v>
      </c>
      <c r="C57" s="5">
        <v>42695</v>
      </c>
      <c r="D57" s="6">
        <v>6682.0938506312696</v>
      </c>
      <c r="E57" s="6">
        <f t="shared" si="1"/>
        <v>114.17231954769311</v>
      </c>
      <c r="F57" s="11"/>
      <c r="H57" s="4">
        <v>47</v>
      </c>
      <c r="I57" s="5">
        <v>42695</v>
      </c>
      <c r="J57" s="6">
        <v>6682.0938506312696</v>
      </c>
      <c r="K57" s="6">
        <f t="shared" si="4"/>
        <v>7383.8486269923578</v>
      </c>
      <c r="L57" s="7">
        <f t="shared" si="3"/>
        <v>0.43804803540141757</v>
      </c>
    </row>
    <row r="58" spans="2:12" x14ac:dyDescent="0.3">
      <c r="B58" s="4">
        <v>48</v>
      </c>
      <c r="C58" s="5">
        <v>42702</v>
      </c>
      <c r="D58" s="6">
        <v>4731.8797049172699</v>
      </c>
      <c r="E58" s="6">
        <f t="shared" si="1"/>
        <v>103.04035557590043</v>
      </c>
      <c r="F58" s="11"/>
      <c r="H58" s="4">
        <v>48</v>
      </c>
      <c r="I58" s="5">
        <v>42702</v>
      </c>
      <c r="J58" s="6">
        <v>4731.8797049172699</v>
      </c>
      <c r="K58" s="6">
        <f t="shared" si="4"/>
        <v>5566.3791925401456</v>
      </c>
      <c r="L58" s="7">
        <f t="shared" si="3"/>
        <v>0.28480239727642831</v>
      </c>
    </row>
    <row r="59" spans="2:12" x14ac:dyDescent="0.3">
      <c r="B59" s="4">
        <v>49</v>
      </c>
      <c r="C59" s="5">
        <v>42709</v>
      </c>
      <c r="D59" s="6">
        <v>1656.46786461852</v>
      </c>
      <c r="E59" s="6">
        <f t="shared" si="1"/>
        <v>71.611834738428257</v>
      </c>
      <c r="F59" s="11"/>
      <c r="H59" s="4">
        <v>49</v>
      </c>
      <c r="I59" s="5">
        <v>42709</v>
      </c>
      <c r="J59" s="6">
        <v>1656.46786461852</v>
      </c>
      <c r="K59" s="6">
        <f t="shared" si="4"/>
        <v>2285.5626387324737</v>
      </c>
      <c r="L59" s="7">
        <f t="shared" si="3"/>
        <v>4.5791779513191182E-2</v>
      </c>
    </row>
    <row r="60" spans="2:12" x14ac:dyDescent="0.3">
      <c r="B60" s="4">
        <v>50</v>
      </c>
      <c r="C60" s="5">
        <v>42716</v>
      </c>
      <c r="D60" s="6">
        <v>3030.3612399354402</v>
      </c>
      <c r="E60" s="6">
        <f t="shared" si="1"/>
        <v>76.532267390550018</v>
      </c>
      <c r="F60" s="11"/>
      <c r="H60" s="4">
        <v>50</v>
      </c>
      <c r="I60" s="5">
        <v>42716</v>
      </c>
      <c r="J60" s="6">
        <v>3030.3612399354402</v>
      </c>
      <c r="K60" s="6">
        <f t="shared" si="4"/>
        <v>3288.6683839876514</v>
      </c>
      <c r="L60" s="7">
        <f t="shared" si="3"/>
        <v>0.10231269319538965</v>
      </c>
    </row>
    <row r="61" spans="2:12" x14ac:dyDescent="0.3">
      <c r="B61" s="4">
        <v>51</v>
      </c>
      <c r="C61" s="5">
        <v>42723</v>
      </c>
      <c r="D61" s="6">
        <v>1011.87769166753</v>
      </c>
      <c r="E61" s="6">
        <f t="shared" si="1"/>
        <v>54.769705235506791</v>
      </c>
      <c r="F61" s="11"/>
      <c r="H61" s="4">
        <v>51</v>
      </c>
      <c r="I61" s="5">
        <v>42723</v>
      </c>
      <c r="J61" s="6">
        <v>1011.87769166753</v>
      </c>
      <c r="K61" s="6">
        <f t="shared" si="4"/>
        <v>1383.5527110289588</v>
      </c>
      <c r="L61" s="7">
        <f t="shared" si="3"/>
        <v>1.4343291029905307E-2</v>
      </c>
    </row>
    <row r="62" spans="2:12" x14ac:dyDescent="0.3">
      <c r="B62" s="4">
        <v>52</v>
      </c>
      <c r="C62" s="5">
        <v>42730</v>
      </c>
      <c r="D62" s="6">
        <v>7226.54800621497</v>
      </c>
      <c r="E62" s="6">
        <f t="shared" si="1"/>
        <v>101.44001700186433</v>
      </c>
      <c r="F62" s="11"/>
      <c r="H62" s="4">
        <v>52</v>
      </c>
      <c r="I62" s="5">
        <v>42730</v>
      </c>
      <c r="J62" s="6">
        <v>7226.54800621497</v>
      </c>
      <c r="K62" s="6">
        <f t="shared" si="4"/>
        <v>7382.9128082007865</v>
      </c>
      <c r="L62" s="7">
        <f t="shared" si="3"/>
        <v>0.43797386798038063</v>
      </c>
    </row>
    <row r="63" spans="2:12" x14ac:dyDescent="0.3">
      <c r="B63" s="4">
        <v>53</v>
      </c>
      <c r="C63" s="5">
        <v>42737</v>
      </c>
      <c r="D63" s="6">
        <v>4281.2109246028303</v>
      </c>
      <c r="E63" s="6">
        <f t="shared" si="1"/>
        <v>95.86296814255364</v>
      </c>
      <c r="F63" s="11"/>
      <c r="H63" s="4">
        <v>53</v>
      </c>
      <c r="I63" s="5">
        <v>42737</v>
      </c>
      <c r="J63" s="6">
        <v>4281.2109246028303</v>
      </c>
      <c r="K63" s="6">
        <f t="shared" si="4"/>
        <v>5115.6046489115415</v>
      </c>
      <c r="L63" s="7">
        <f t="shared" si="3"/>
        <v>0.24573037221383684</v>
      </c>
    </row>
    <row r="64" spans="2:12" x14ac:dyDescent="0.3">
      <c r="B64" s="4">
        <v>54</v>
      </c>
      <c r="C64" s="5">
        <v>42744</v>
      </c>
      <c r="D64" s="6">
        <v>5472.97695689383</v>
      </c>
      <c r="E64" s="6">
        <f t="shared" si="1"/>
        <v>102.7384616559992</v>
      </c>
      <c r="F64" s="11"/>
      <c r="H64" s="4">
        <v>54</v>
      </c>
      <c r="I64" s="5">
        <v>42744</v>
      </c>
      <c r="J64" s="6">
        <v>5472.97695689383</v>
      </c>
      <c r="K64" s="6">
        <f t="shared" si="4"/>
        <v>6051.1266013478426</v>
      </c>
      <c r="L64" s="7">
        <f t="shared" si="3"/>
        <v>0.32689359948907426</v>
      </c>
    </row>
    <row r="65" spans="2:12" x14ac:dyDescent="0.3">
      <c r="B65" s="4">
        <v>55</v>
      </c>
      <c r="C65" s="5">
        <v>42751</v>
      </c>
      <c r="D65" s="6">
        <v>5987.7191798045696</v>
      </c>
      <c r="E65" s="6">
        <f t="shared" si="1"/>
        <v>108.20189246216083</v>
      </c>
      <c r="F65" s="11"/>
      <c r="H65" s="4">
        <v>55</v>
      </c>
      <c r="I65" s="5">
        <v>42751</v>
      </c>
      <c r="J65" s="6">
        <v>5987.7191798045696</v>
      </c>
      <c r="K65" s="6">
        <f t="shared" si="4"/>
        <v>6671.5985905912976</v>
      </c>
      <c r="L65" s="7">
        <f t="shared" si="3"/>
        <v>0.37984192448519527</v>
      </c>
    </row>
    <row r="66" spans="2:12" x14ac:dyDescent="0.3">
      <c r="B66" s="4">
        <v>56</v>
      </c>
      <c r="C66" s="5">
        <v>42758</v>
      </c>
      <c r="D66" s="6">
        <v>6502.4614027153002</v>
      </c>
      <c r="E66" s="6">
        <f t="shared" si="1"/>
        <v>113.09840874840805</v>
      </c>
      <c r="F66" s="11"/>
      <c r="H66" s="4">
        <v>56</v>
      </c>
      <c r="I66" s="5">
        <v>42758</v>
      </c>
      <c r="J66" s="6">
        <v>6502.4614027153002</v>
      </c>
      <c r="K66" s="6">
        <f t="shared" si="4"/>
        <v>7256.464617938539</v>
      </c>
      <c r="L66" s="7">
        <f t="shared" si="3"/>
        <v>0.4278921707193129</v>
      </c>
    </row>
    <row r="67" spans="2:12" x14ac:dyDescent="0.3">
      <c r="B67" s="4">
        <v>57</v>
      </c>
      <c r="C67" s="5">
        <v>42765</v>
      </c>
      <c r="D67" s="6">
        <v>4280.6439029869298</v>
      </c>
      <c r="E67" s="6">
        <f t="shared" si="1"/>
        <v>99.356152546801979</v>
      </c>
      <c r="F67" s="11"/>
      <c r="H67" s="4">
        <v>57</v>
      </c>
      <c r="I67" s="5">
        <v>42765</v>
      </c>
      <c r="J67" s="6">
        <v>4280.6439029869298</v>
      </c>
      <c r="K67" s="6">
        <f t="shared" si="4"/>
        <v>5100.7468481484439</v>
      </c>
      <c r="L67" s="7">
        <f t="shared" si="3"/>
        <v>0.24445106830888144</v>
      </c>
    </row>
    <row r="68" spans="2:12" x14ac:dyDescent="0.3">
      <c r="B68" s="4">
        <v>58</v>
      </c>
      <c r="C68" s="5">
        <v>42772</v>
      </c>
      <c r="D68" s="6">
        <v>0</v>
      </c>
      <c r="E68" s="6">
        <f t="shared" si="1"/>
        <v>29.806845764040592</v>
      </c>
      <c r="F68" s="11"/>
      <c r="H68" s="4">
        <v>58</v>
      </c>
      <c r="I68" s="5">
        <v>42772</v>
      </c>
      <c r="J68" s="6">
        <v>0</v>
      </c>
      <c r="K68" s="6">
        <f t="shared" si="4"/>
        <v>576.4704622618583</v>
      </c>
      <c r="L68" s="7">
        <f t="shared" si="3"/>
        <v>1.8125222612683637E-3</v>
      </c>
    </row>
    <row r="69" spans="2:12" x14ac:dyDescent="0.3">
      <c r="B69" s="4">
        <v>59</v>
      </c>
      <c r="C69" s="5">
        <v>42779</v>
      </c>
      <c r="D69" s="6">
        <v>8260.4552206404005</v>
      </c>
      <c r="E69" s="6">
        <f t="shared" si="1"/>
        <v>99.829100224520843</v>
      </c>
      <c r="F69" s="11"/>
      <c r="H69" s="4">
        <v>59</v>
      </c>
      <c r="I69" s="5">
        <v>42779</v>
      </c>
      <c r="J69" s="6">
        <v>8260.4552206404005</v>
      </c>
      <c r="K69" s="6">
        <f t="shared" si="4"/>
        <v>8325.6061100598654</v>
      </c>
      <c r="L69" s="7">
        <f t="shared" si="3"/>
        <v>0.50906702242936663</v>
      </c>
    </row>
    <row r="70" spans="2:12" x14ac:dyDescent="0.3">
      <c r="B70" s="4">
        <v>60</v>
      </c>
      <c r="C70" s="5">
        <v>42786</v>
      </c>
      <c r="D70" s="6">
        <v>0</v>
      </c>
      <c r="E70" s="6">
        <f t="shared" si="1"/>
        <v>29.948730067356252</v>
      </c>
      <c r="F70" s="11"/>
      <c r="H70" s="4">
        <v>60</v>
      </c>
      <c r="I70" s="5">
        <v>42786</v>
      </c>
      <c r="J70" s="6">
        <v>0</v>
      </c>
      <c r="K70" s="6">
        <f t="shared" si="4"/>
        <v>940.93397413332809</v>
      </c>
      <c r="L70" s="7">
        <f t="shared" si="3"/>
        <v>5.7859482273471497E-3</v>
      </c>
    </row>
    <row r="71" spans="2:12" x14ac:dyDescent="0.3">
      <c r="B71" s="4">
        <v>61</v>
      </c>
      <c r="C71" s="5">
        <v>42793</v>
      </c>
      <c r="D71" s="6">
        <v>13900.619233961599</v>
      </c>
      <c r="E71" s="6">
        <f t="shared" si="1"/>
        <v>126.88550635343096</v>
      </c>
      <c r="F71" s="11"/>
      <c r="H71" s="4">
        <v>61</v>
      </c>
      <c r="I71" s="5">
        <v>42793</v>
      </c>
      <c r="J71" s="6">
        <v>13900.619233961599</v>
      </c>
      <c r="K71" s="6">
        <f t="shared" si="4"/>
        <v>14006.960650066856</v>
      </c>
      <c r="L71" s="7">
        <f t="shared" si="3"/>
        <v>0.78124395599258056</v>
      </c>
    </row>
    <row r="72" spans="2:12" x14ac:dyDescent="0.3">
      <c r="B72" s="4">
        <v>62</v>
      </c>
      <c r="C72" s="5">
        <v>42800</v>
      </c>
      <c r="D72" s="6">
        <v>0</v>
      </c>
      <c r="E72" s="6">
        <f t="shared" si="1"/>
        <v>38.065651906029288</v>
      </c>
      <c r="F72" s="11"/>
      <c r="H72" s="4">
        <v>62</v>
      </c>
      <c r="I72" s="5">
        <v>42800</v>
      </c>
      <c r="J72" s="6">
        <v>0</v>
      </c>
      <c r="K72" s="6">
        <f t="shared" si="4"/>
        <v>1583.0229025694061</v>
      </c>
      <c r="L72" s="7">
        <f t="shared" si="3"/>
        <v>1.9649427636151569E-2</v>
      </c>
    </row>
    <row r="73" spans="2:12" x14ac:dyDescent="0.3">
      <c r="B73" s="4">
        <v>63</v>
      </c>
      <c r="C73" s="5">
        <v>42807</v>
      </c>
      <c r="D73" s="6">
        <v>0</v>
      </c>
      <c r="E73" s="6">
        <f t="shared" si="1"/>
        <v>11.419695571808786</v>
      </c>
      <c r="F73" s="11"/>
      <c r="H73" s="4">
        <v>63</v>
      </c>
      <c r="I73" s="5">
        <v>42807</v>
      </c>
      <c r="J73" s="6">
        <v>0</v>
      </c>
      <c r="K73" s="6">
        <f t="shared" si="4"/>
        <v>178.90829942806377</v>
      </c>
      <c r="L73" s="7">
        <f t="shared" si="3"/>
        <v>1.1247643306612211E-4</v>
      </c>
    </row>
    <row r="74" spans="2:12" x14ac:dyDescent="0.3">
      <c r="B74" s="4">
        <v>64</v>
      </c>
      <c r="C74" s="5">
        <v>42814</v>
      </c>
      <c r="D74" s="6">
        <v>0</v>
      </c>
      <c r="E74" s="6">
        <f t="shared" si="1"/>
        <v>3.4259086715426359</v>
      </c>
      <c r="F74" s="11"/>
      <c r="H74" s="4">
        <v>64</v>
      </c>
      <c r="I74" s="5">
        <v>42814</v>
      </c>
      <c r="J74" s="6">
        <v>0</v>
      </c>
      <c r="K74" s="6">
        <f t="shared" si="4"/>
        <v>20.219656678554184</v>
      </c>
      <c r="L74" s="7">
        <f t="shared" si="3"/>
        <v>6.3132356444595451E-7</v>
      </c>
    </row>
    <row r="75" spans="2:12" x14ac:dyDescent="0.3">
      <c r="B75" s="4">
        <v>65</v>
      </c>
      <c r="C75" s="5">
        <v>42821</v>
      </c>
      <c r="D75" s="6">
        <v>2615.8684387151902</v>
      </c>
      <c r="E75" s="6">
        <f t="shared" si="1"/>
        <v>52.173333882136902</v>
      </c>
      <c r="F75" s="11"/>
      <c r="H75" s="4">
        <v>65</v>
      </c>
      <c r="I75" s="5">
        <v>42821</v>
      </c>
      <c r="J75" s="6">
        <v>2615.8684387151902</v>
      </c>
      <c r="K75" s="6">
        <f t="shared" si="4"/>
        <v>2618.1536011000853</v>
      </c>
      <c r="L75" s="7">
        <f t="shared" ref="L75:L106" si="5">(K75^$J$5)/(K75^$J$5 + $J$8^$J$5)</f>
        <v>6.2162825812048517E-2</v>
      </c>
    </row>
    <row r="76" spans="2:12" x14ac:dyDescent="0.3">
      <c r="B76" s="4">
        <v>66</v>
      </c>
      <c r="C76" s="5">
        <v>42828</v>
      </c>
      <c r="D76" s="6">
        <v>0</v>
      </c>
      <c r="E76" s="6">
        <f t="shared" si="1"/>
        <v>15.65200016464107</v>
      </c>
      <c r="F76" s="11"/>
      <c r="H76" s="4">
        <v>66</v>
      </c>
      <c r="I76" s="5">
        <v>42828</v>
      </c>
      <c r="J76" s="6">
        <v>0</v>
      </c>
      <c r="K76" s="6">
        <f t="shared" ref="K76:K107" si="6">J76+K75*$J$4</f>
        <v>295.89553483654703</v>
      </c>
      <c r="L76" s="7">
        <f t="shared" si="5"/>
        <v>3.718635962024708E-4</v>
      </c>
    </row>
    <row r="77" spans="2:12" x14ac:dyDescent="0.3">
      <c r="B77" s="4">
        <v>67</v>
      </c>
      <c r="C77" s="5">
        <v>42835</v>
      </c>
      <c r="D77" s="6">
        <v>0</v>
      </c>
      <c r="E77" s="6">
        <f t="shared" ref="E77:E140" si="7">D77^$D$5+E76*$D$4</f>
        <v>4.6956000493923211</v>
      </c>
      <c r="F77" s="11"/>
      <c r="H77" s="4">
        <v>67</v>
      </c>
      <c r="I77" s="5">
        <v>42835</v>
      </c>
      <c r="J77" s="6">
        <v>0</v>
      </c>
      <c r="K77" s="6">
        <f t="shared" si="6"/>
        <v>33.441188286057034</v>
      </c>
      <c r="L77" s="7">
        <f t="shared" si="5"/>
        <v>2.0877869312573886E-6</v>
      </c>
    </row>
    <row r="78" spans="2:12" x14ac:dyDescent="0.3">
      <c r="B78" s="4">
        <v>68</v>
      </c>
      <c r="C78" s="5">
        <v>42842</v>
      </c>
      <c r="D78" s="6">
        <v>0</v>
      </c>
      <c r="E78" s="6">
        <f t="shared" si="7"/>
        <v>1.4086800148176963</v>
      </c>
      <c r="F78" s="11"/>
      <c r="H78" s="4">
        <v>68</v>
      </c>
      <c r="I78" s="5">
        <v>42842</v>
      </c>
      <c r="J78" s="6">
        <v>0</v>
      </c>
      <c r="K78" s="6">
        <f t="shared" si="6"/>
        <v>3.7794185525688158</v>
      </c>
      <c r="L78" s="7">
        <f t="shared" si="5"/>
        <v>1.1717338181400831E-8</v>
      </c>
    </row>
    <row r="79" spans="2:12" x14ac:dyDescent="0.3">
      <c r="B79" s="4">
        <v>69</v>
      </c>
      <c r="C79" s="5">
        <v>42849</v>
      </c>
      <c r="D79" s="6">
        <v>0</v>
      </c>
      <c r="E79" s="6">
        <f t="shared" si="7"/>
        <v>0.42260400444530888</v>
      </c>
      <c r="F79" s="11"/>
      <c r="H79" s="4">
        <v>69</v>
      </c>
      <c r="I79" s="5">
        <v>42849</v>
      </c>
      <c r="J79" s="6">
        <v>0</v>
      </c>
      <c r="K79" s="6">
        <f t="shared" si="6"/>
        <v>0.42713806917731251</v>
      </c>
      <c r="L79" s="7">
        <f t="shared" si="5"/>
        <v>6.5761370839817661E-11</v>
      </c>
    </row>
    <row r="80" spans="2:12" x14ac:dyDescent="0.3">
      <c r="B80" s="4">
        <v>70</v>
      </c>
      <c r="C80" s="5">
        <v>42856</v>
      </c>
      <c r="D80" s="6">
        <v>0</v>
      </c>
      <c r="E80" s="6">
        <f t="shared" si="7"/>
        <v>0.12678120133359266</v>
      </c>
      <c r="F80" s="11"/>
      <c r="H80" s="4">
        <v>70</v>
      </c>
      <c r="I80" s="5">
        <v>42856</v>
      </c>
      <c r="J80" s="6">
        <v>0</v>
      </c>
      <c r="K80" s="6">
        <f t="shared" si="6"/>
        <v>4.8273809212402811E-2</v>
      </c>
      <c r="L80" s="7">
        <f t="shared" si="5"/>
        <v>3.6907340026178904E-13</v>
      </c>
    </row>
    <row r="81" spans="2:12" x14ac:dyDescent="0.3">
      <c r="B81" s="4">
        <v>71</v>
      </c>
      <c r="C81" s="5">
        <v>42863</v>
      </c>
      <c r="D81" s="6">
        <v>0</v>
      </c>
      <c r="E81" s="6">
        <f t="shared" si="7"/>
        <v>3.80343604000778E-2</v>
      </c>
      <c r="F81" s="11"/>
      <c r="H81" s="4">
        <v>71</v>
      </c>
      <c r="I81" s="5">
        <v>42863</v>
      </c>
      <c r="J81" s="6">
        <v>0</v>
      </c>
      <c r="K81" s="6">
        <f t="shared" si="6"/>
        <v>5.4557549982932876E-3</v>
      </c>
      <c r="L81" s="7">
        <f t="shared" si="5"/>
        <v>2.0713554634336325E-15</v>
      </c>
    </row>
    <row r="82" spans="2:12" x14ac:dyDescent="0.3">
      <c r="B82" s="4">
        <v>72</v>
      </c>
      <c r="C82" s="5">
        <v>42870</v>
      </c>
      <c r="D82" s="6">
        <v>0</v>
      </c>
      <c r="E82" s="6">
        <f t="shared" si="7"/>
        <v>1.1410308120023339E-2</v>
      </c>
      <c r="F82" s="11"/>
      <c r="H82" s="4">
        <v>72</v>
      </c>
      <c r="I82" s="5">
        <v>42870</v>
      </c>
      <c r="J82" s="6">
        <v>0</v>
      </c>
      <c r="K82" s="6">
        <f t="shared" si="6"/>
        <v>6.1659237352569866E-4</v>
      </c>
      <c r="L82" s="7">
        <f t="shared" si="5"/>
        <v>1.1625095313971328E-17</v>
      </c>
    </row>
    <row r="83" spans="2:12" x14ac:dyDescent="0.3">
      <c r="B83" s="4">
        <v>73</v>
      </c>
      <c r="C83" s="5">
        <v>42877</v>
      </c>
      <c r="D83" s="6">
        <v>3978.5347860373699</v>
      </c>
      <c r="E83" s="6">
        <f t="shared" si="7"/>
        <v>63.079050604474048</v>
      </c>
      <c r="F83" s="11"/>
      <c r="H83" s="4">
        <v>73</v>
      </c>
      <c r="I83" s="5">
        <v>42877</v>
      </c>
      <c r="J83" s="6">
        <v>3978.5347860373699</v>
      </c>
      <c r="K83" s="6">
        <f t="shared" si="6"/>
        <v>3978.5348557227126</v>
      </c>
      <c r="L83" s="7">
        <f t="shared" si="5"/>
        <v>0.15198742360755807</v>
      </c>
    </row>
    <row r="84" spans="2:12" x14ac:dyDescent="0.3">
      <c r="B84" s="4">
        <v>74</v>
      </c>
      <c r="C84" s="5">
        <v>42884</v>
      </c>
      <c r="D84" s="6">
        <v>0</v>
      </c>
      <c r="E84" s="6">
        <f t="shared" si="7"/>
        <v>18.923715181342214</v>
      </c>
      <c r="F84" s="11"/>
      <c r="H84" s="4">
        <v>74</v>
      </c>
      <c r="I84" s="5">
        <v>42884</v>
      </c>
      <c r="J84" s="6">
        <v>0</v>
      </c>
      <c r="K84" s="6">
        <f t="shared" si="6"/>
        <v>449.64157126047621</v>
      </c>
      <c r="L84" s="7">
        <f t="shared" si="5"/>
        <v>1.0048717073595523E-3</v>
      </c>
    </row>
    <row r="85" spans="2:12" x14ac:dyDescent="0.3">
      <c r="B85" s="4">
        <v>75</v>
      </c>
      <c r="C85" s="5">
        <v>42891</v>
      </c>
      <c r="D85" s="6">
        <v>3092.0531917449598</v>
      </c>
      <c r="E85" s="6">
        <f t="shared" si="7"/>
        <v>61.283347943699589</v>
      </c>
      <c r="F85" s="11"/>
      <c r="H85" s="4">
        <v>75</v>
      </c>
      <c r="I85" s="5">
        <v>42891</v>
      </c>
      <c r="J85" s="6">
        <v>3092.0531917449598</v>
      </c>
      <c r="K85" s="6">
        <f t="shared" si="6"/>
        <v>3142.870276409878</v>
      </c>
      <c r="L85" s="7">
        <f t="shared" si="5"/>
        <v>9.2827919653691915E-2</v>
      </c>
    </row>
    <row r="86" spans="2:12" x14ac:dyDescent="0.3">
      <c r="B86" s="4">
        <v>76</v>
      </c>
      <c r="C86" s="5">
        <v>42898</v>
      </c>
      <c r="D86" s="6">
        <v>0</v>
      </c>
      <c r="E86" s="6">
        <f t="shared" si="7"/>
        <v>18.385004383109877</v>
      </c>
      <c r="F86" s="11"/>
      <c r="H86" s="4">
        <v>76</v>
      </c>
      <c r="I86" s="5">
        <v>42898</v>
      </c>
      <c r="J86" s="6">
        <v>0</v>
      </c>
      <c r="K86" s="6">
        <f t="shared" si="6"/>
        <v>355.19737305307058</v>
      </c>
      <c r="L86" s="7">
        <f t="shared" si="5"/>
        <v>5.7395982045043586E-4</v>
      </c>
    </row>
    <row r="87" spans="2:12" x14ac:dyDescent="0.3">
      <c r="B87" s="4">
        <v>77</v>
      </c>
      <c r="C87" s="5">
        <v>42905</v>
      </c>
      <c r="D87" s="6">
        <v>31.2705091363358</v>
      </c>
      <c r="E87" s="6">
        <f t="shared" si="7"/>
        <v>11.10750535072691</v>
      </c>
      <c r="F87" s="11"/>
      <c r="H87" s="4">
        <v>77</v>
      </c>
      <c r="I87" s="5">
        <v>42905</v>
      </c>
      <c r="J87" s="6">
        <v>31.2705091363358</v>
      </c>
      <c r="K87" s="6">
        <f t="shared" si="6"/>
        <v>71.413805781694492</v>
      </c>
      <c r="L87" s="7">
        <f t="shared" si="5"/>
        <v>1.2675548131684222E-5</v>
      </c>
    </row>
    <row r="88" spans="2:12" x14ac:dyDescent="0.3">
      <c r="B88" s="4">
        <v>78</v>
      </c>
      <c r="C88" s="5">
        <v>42912</v>
      </c>
      <c r="D88" s="6">
        <v>0</v>
      </c>
      <c r="E88" s="6">
        <f t="shared" si="7"/>
        <v>3.3322516052180728</v>
      </c>
      <c r="F88" s="11"/>
      <c r="H88" s="4">
        <v>78</v>
      </c>
      <c r="I88" s="5">
        <v>42912</v>
      </c>
      <c r="J88" s="6">
        <v>0</v>
      </c>
      <c r="K88" s="6">
        <f t="shared" si="6"/>
        <v>8.070965067751958</v>
      </c>
      <c r="L88" s="7">
        <f t="shared" si="5"/>
        <v>7.1140040967483706E-8</v>
      </c>
    </row>
    <row r="89" spans="2:12" x14ac:dyDescent="0.3">
      <c r="B89" s="4">
        <v>79</v>
      </c>
      <c r="C89" s="5">
        <v>42919</v>
      </c>
      <c r="D89" s="6">
        <v>6650.1138314947002</v>
      </c>
      <c r="E89" s="6">
        <f t="shared" si="7"/>
        <v>82.547905575753859</v>
      </c>
      <c r="F89" s="11"/>
      <c r="H89" s="4">
        <v>79</v>
      </c>
      <c r="I89" s="5">
        <v>42919</v>
      </c>
      <c r="J89" s="6">
        <v>6650.1138314947002</v>
      </c>
      <c r="K89" s="6">
        <f t="shared" si="6"/>
        <v>6651.0259867343184</v>
      </c>
      <c r="L89" s="7">
        <f t="shared" si="5"/>
        <v>0.37811404250146391</v>
      </c>
    </row>
    <row r="90" spans="2:12" x14ac:dyDescent="0.3">
      <c r="B90" s="4">
        <v>80</v>
      </c>
      <c r="C90" s="5">
        <v>42926</v>
      </c>
      <c r="D90" s="6">
        <v>0</v>
      </c>
      <c r="E90" s="6">
        <f t="shared" si="7"/>
        <v>24.764371672726156</v>
      </c>
      <c r="F90" s="11"/>
      <c r="H90" s="4">
        <v>80</v>
      </c>
      <c r="I90" s="5">
        <v>42926</v>
      </c>
      <c r="J90" s="6">
        <v>0</v>
      </c>
      <c r="K90" s="6">
        <f t="shared" si="6"/>
        <v>751.67816385166009</v>
      </c>
      <c r="L90" s="7">
        <f t="shared" si="5"/>
        <v>3.4007483902501437E-3</v>
      </c>
    </row>
    <row r="91" spans="2:12" x14ac:dyDescent="0.3">
      <c r="B91" s="4">
        <v>81</v>
      </c>
      <c r="C91" s="5">
        <v>42933</v>
      </c>
      <c r="D91" s="6">
        <v>0</v>
      </c>
      <c r="E91" s="6">
        <f t="shared" si="7"/>
        <v>7.4293115018178462</v>
      </c>
      <c r="F91" s="11"/>
      <c r="H91" s="4">
        <v>81</v>
      </c>
      <c r="I91" s="5">
        <v>42933</v>
      </c>
      <c r="J91" s="6">
        <v>0</v>
      </c>
      <c r="K91" s="6">
        <f t="shared" si="6"/>
        <v>84.952316099554196</v>
      </c>
      <c r="L91" s="7">
        <f t="shared" si="5"/>
        <v>1.9150826223119318E-5</v>
      </c>
    </row>
    <row r="92" spans="2:12" x14ac:dyDescent="0.3">
      <c r="B92" s="4">
        <v>82</v>
      </c>
      <c r="C92" s="5">
        <v>42940</v>
      </c>
      <c r="D92" s="6">
        <v>0</v>
      </c>
      <c r="E92" s="6">
        <f t="shared" si="7"/>
        <v>2.2287934505453539</v>
      </c>
      <c r="F92" s="11"/>
      <c r="H92" s="4">
        <v>82</v>
      </c>
      <c r="I92" s="5">
        <v>42940</v>
      </c>
      <c r="J92" s="6">
        <v>0</v>
      </c>
      <c r="K92" s="6">
        <f t="shared" si="6"/>
        <v>9.6010451782962711</v>
      </c>
      <c r="L92" s="7">
        <f t="shared" si="5"/>
        <v>1.0748247889826258E-7</v>
      </c>
    </row>
    <row r="93" spans="2:12" x14ac:dyDescent="0.3">
      <c r="B93" s="4">
        <v>83</v>
      </c>
      <c r="C93" s="5">
        <v>42947</v>
      </c>
      <c r="D93" s="6">
        <v>0</v>
      </c>
      <c r="E93" s="6">
        <f t="shared" si="7"/>
        <v>0.6686380351636062</v>
      </c>
      <c r="F93" s="11"/>
      <c r="H93" s="4">
        <v>83</v>
      </c>
      <c r="I93" s="5">
        <v>42947</v>
      </c>
      <c r="J93" s="6">
        <v>0</v>
      </c>
      <c r="K93" s="6">
        <f t="shared" si="6"/>
        <v>1.0850801102074932</v>
      </c>
      <c r="L93" s="7">
        <f t="shared" si="5"/>
        <v>6.0322538423606118E-10</v>
      </c>
    </row>
    <row r="94" spans="2:12" x14ac:dyDescent="0.3">
      <c r="B94" s="4">
        <v>84</v>
      </c>
      <c r="C94" s="5">
        <v>42954</v>
      </c>
      <c r="D94" s="6">
        <v>0</v>
      </c>
      <c r="E94" s="6">
        <f t="shared" si="7"/>
        <v>0.20059141054908186</v>
      </c>
      <c r="F94" s="11"/>
      <c r="H94" s="4">
        <v>84</v>
      </c>
      <c r="I94" s="5">
        <v>42954</v>
      </c>
      <c r="J94" s="6">
        <v>0</v>
      </c>
      <c r="K94" s="6">
        <f t="shared" si="6"/>
        <v>0.12263236175885155</v>
      </c>
      <c r="L94" s="7">
        <f t="shared" si="5"/>
        <v>3.3854897025414742E-12</v>
      </c>
    </row>
    <row r="95" spans="2:12" x14ac:dyDescent="0.3">
      <c r="B95" s="4">
        <v>85</v>
      </c>
      <c r="C95" s="5">
        <v>42961</v>
      </c>
      <c r="D95" s="6">
        <v>0</v>
      </c>
      <c r="E95" s="6">
        <f t="shared" si="7"/>
        <v>6.0177423164724554E-2</v>
      </c>
      <c r="F95" s="11"/>
      <c r="H95" s="4">
        <v>85</v>
      </c>
      <c r="I95" s="5">
        <v>42961</v>
      </c>
      <c r="J95" s="6">
        <v>0</v>
      </c>
      <c r="K95" s="6">
        <f t="shared" si="6"/>
        <v>1.3859526139206511E-2</v>
      </c>
      <c r="L95" s="7">
        <f t="shared" si="5"/>
        <v>1.9000428063373059E-14</v>
      </c>
    </row>
    <row r="96" spans="2:12" x14ac:dyDescent="0.3">
      <c r="B96" s="4">
        <v>86</v>
      </c>
      <c r="C96" s="5">
        <v>42968</v>
      </c>
      <c r="D96" s="6">
        <v>1342.6781023814699</v>
      </c>
      <c r="E96" s="6">
        <f t="shared" si="7"/>
        <v>36.660625494483668</v>
      </c>
      <c r="F96" s="11"/>
      <c r="H96" s="4">
        <v>86</v>
      </c>
      <c r="I96" s="5">
        <v>42968</v>
      </c>
      <c r="J96" s="6">
        <v>1342.6781023814699</v>
      </c>
      <c r="K96" s="6">
        <f t="shared" si="6"/>
        <v>1342.679668741785</v>
      </c>
      <c r="L96" s="7">
        <f t="shared" si="5"/>
        <v>1.3369610885176362E-2</v>
      </c>
    </row>
    <row r="97" spans="2:12" x14ac:dyDescent="0.3">
      <c r="B97" s="4">
        <v>87</v>
      </c>
      <c r="C97" s="5">
        <v>42975</v>
      </c>
      <c r="D97" s="6">
        <v>898.92698578096702</v>
      </c>
      <c r="E97" s="6">
        <f t="shared" si="7"/>
        <v>40.98029874447986</v>
      </c>
      <c r="F97" s="11"/>
      <c r="H97" s="4">
        <v>87</v>
      </c>
      <c r="I97" s="5">
        <v>42975</v>
      </c>
      <c r="J97" s="6">
        <v>898.92698578096702</v>
      </c>
      <c r="K97" s="6">
        <f t="shared" si="6"/>
        <v>1050.6724443092885</v>
      </c>
      <c r="L97" s="7">
        <f t="shared" si="5"/>
        <v>7.5077299983619368E-3</v>
      </c>
    </row>
    <row r="98" spans="2:12" x14ac:dyDescent="0.3">
      <c r="B98" s="4">
        <v>88</v>
      </c>
      <c r="C98" s="5">
        <v>42982</v>
      </c>
      <c r="D98" s="6">
        <v>0</v>
      </c>
      <c r="E98" s="6">
        <f t="shared" si="7"/>
        <v>12.294089623343957</v>
      </c>
      <c r="F98" s="11"/>
      <c r="H98" s="4">
        <v>88</v>
      </c>
      <c r="I98" s="5">
        <v>42982</v>
      </c>
      <c r="J98" s="6">
        <v>0</v>
      </c>
      <c r="K98" s="6">
        <f t="shared" si="6"/>
        <v>118.74371492806642</v>
      </c>
      <c r="L98" s="7">
        <f t="shared" si="5"/>
        <v>4.2452665477351989E-5</v>
      </c>
    </row>
    <row r="99" spans="2:12" x14ac:dyDescent="0.3">
      <c r="B99" s="4">
        <v>89</v>
      </c>
      <c r="C99" s="5">
        <v>42989</v>
      </c>
      <c r="D99" s="6">
        <v>621.76681993082002</v>
      </c>
      <c r="E99" s="6">
        <f t="shared" si="7"/>
        <v>28.623479440984266</v>
      </c>
      <c r="F99" s="11"/>
      <c r="H99" s="4">
        <v>89</v>
      </c>
      <c r="I99" s="5">
        <v>42989</v>
      </c>
      <c r="J99" s="6">
        <v>621.76681993082002</v>
      </c>
      <c r="K99" s="6">
        <f t="shared" si="6"/>
        <v>635.18686336232668</v>
      </c>
      <c r="L99" s="7">
        <f t="shared" si="5"/>
        <v>2.2814821399370308E-3</v>
      </c>
    </row>
    <row r="100" spans="2:12" x14ac:dyDescent="0.3">
      <c r="B100" s="4">
        <v>90</v>
      </c>
      <c r="C100" s="5">
        <v>42996</v>
      </c>
      <c r="D100" s="6">
        <v>0</v>
      </c>
      <c r="E100" s="6">
        <f t="shared" si="7"/>
        <v>8.5870438322952793</v>
      </c>
      <c r="F100" s="11"/>
      <c r="H100" s="4">
        <v>90</v>
      </c>
      <c r="I100" s="5">
        <v>42996</v>
      </c>
      <c r="J100" s="6">
        <v>0</v>
      </c>
      <c r="K100" s="6">
        <f t="shared" si="6"/>
        <v>71.786833506167369</v>
      </c>
      <c r="L100" s="7">
        <f t="shared" si="5"/>
        <v>1.2833507096199106E-5</v>
      </c>
    </row>
    <row r="101" spans="2:12" x14ac:dyDescent="0.3">
      <c r="B101" s="4">
        <v>91</v>
      </c>
      <c r="C101" s="5">
        <v>43003</v>
      </c>
      <c r="D101" s="6">
        <v>2529.0007271598602</v>
      </c>
      <c r="E101" s="6">
        <f t="shared" si="7"/>
        <v>52.865284222195434</v>
      </c>
      <c r="F101" s="11"/>
      <c r="H101" s="4">
        <v>91</v>
      </c>
      <c r="I101" s="5">
        <v>43003</v>
      </c>
      <c r="J101" s="6">
        <v>2529.0007271598602</v>
      </c>
      <c r="K101" s="6">
        <f t="shared" si="6"/>
        <v>2537.1138506548318</v>
      </c>
      <c r="L101" s="7">
        <f t="shared" si="5"/>
        <v>5.7945336355029416E-2</v>
      </c>
    </row>
    <row r="102" spans="2:12" x14ac:dyDescent="0.3">
      <c r="B102" s="4">
        <v>92</v>
      </c>
      <c r="C102" s="5">
        <v>43010</v>
      </c>
      <c r="D102" s="6">
        <v>0</v>
      </c>
      <c r="E102" s="6">
        <f t="shared" si="7"/>
        <v>15.85958526665863</v>
      </c>
      <c r="F102" s="11"/>
      <c r="H102" s="4">
        <v>92</v>
      </c>
      <c r="I102" s="5">
        <v>43010</v>
      </c>
      <c r="J102" s="6">
        <v>0</v>
      </c>
      <c r="K102" s="6">
        <f t="shared" si="6"/>
        <v>286.73667559660669</v>
      </c>
      <c r="L102" s="7">
        <f t="shared" si="5"/>
        <v>3.4509158975560205E-4</v>
      </c>
    </row>
    <row r="103" spans="2:12" x14ac:dyDescent="0.3">
      <c r="B103" s="4">
        <v>93</v>
      </c>
      <c r="C103" s="5">
        <v>43017</v>
      </c>
      <c r="D103" s="6">
        <v>5348.5724143661701</v>
      </c>
      <c r="E103" s="6">
        <f t="shared" si="7"/>
        <v>77.891810346056559</v>
      </c>
      <c r="F103" s="11"/>
      <c r="H103" s="4">
        <v>93</v>
      </c>
      <c r="I103" s="5">
        <v>43017</v>
      </c>
      <c r="J103" s="6">
        <v>5348.5724143661701</v>
      </c>
      <c r="K103" s="6">
        <f t="shared" si="6"/>
        <v>5380.9784970143619</v>
      </c>
      <c r="L103" s="7">
        <f t="shared" si="5"/>
        <v>0.26868796254539279</v>
      </c>
    </row>
    <row r="104" spans="2:12" x14ac:dyDescent="0.3">
      <c r="B104" s="4">
        <v>94</v>
      </c>
      <c r="C104" s="5">
        <v>43024</v>
      </c>
      <c r="D104" s="6">
        <v>4190.37406173623</v>
      </c>
      <c r="E104" s="6">
        <f t="shared" si="7"/>
        <v>88.10064176081184</v>
      </c>
      <c r="F104" s="11"/>
      <c r="H104" s="4">
        <v>94</v>
      </c>
      <c r="I104" s="5">
        <v>43024</v>
      </c>
      <c r="J104" s="6">
        <v>4190.37406173623</v>
      </c>
      <c r="K104" s="6">
        <f t="shared" si="6"/>
        <v>4798.5154288619087</v>
      </c>
      <c r="L104" s="7">
        <f t="shared" si="5"/>
        <v>0.21863665040525659</v>
      </c>
    </row>
    <row r="105" spans="2:12" x14ac:dyDescent="0.3">
      <c r="B105" s="4">
        <v>95</v>
      </c>
      <c r="C105" s="5">
        <v>43031</v>
      </c>
      <c r="D105" s="6">
        <v>4731.8797049172699</v>
      </c>
      <c r="E105" s="6">
        <f t="shared" si="7"/>
        <v>95.218852239836053</v>
      </c>
      <c r="F105" s="11"/>
      <c r="H105" s="4">
        <v>95</v>
      </c>
      <c r="I105" s="5">
        <v>43031</v>
      </c>
      <c r="J105" s="6">
        <v>4731.8797049172699</v>
      </c>
      <c r="K105" s="6">
        <f t="shared" si="6"/>
        <v>5274.1929170404728</v>
      </c>
      <c r="L105" s="7">
        <f t="shared" si="5"/>
        <v>0.25942884405007621</v>
      </c>
    </row>
    <row r="106" spans="2:12" x14ac:dyDescent="0.3">
      <c r="B106" s="4">
        <v>96</v>
      </c>
      <c r="C106" s="5">
        <v>43038</v>
      </c>
      <c r="D106" s="6">
        <v>5273.3853480982998</v>
      </c>
      <c r="E106" s="6">
        <f t="shared" si="7"/>
        <v>101.18373433076897</v>
      </c>
      <c r="F106" s="11"/>
      <c r="H106" s="4">
        <v>96</v>
      </c>
      <c r="I106" s="5">
        <v>43038</v>
      </c>
      <c r="J106" s="6">
        <v>5273.3853480982998</v>
      </c>
      <c r="K106" s="6">
        <f t="shared" si="6"/>
        <v>5869.4581428201554</v>
      </c>
      <c r="L106" s="7">
        <f t="shared" si="5"/>
        <v>0.31115383493235732</v>
      </c>
    </row>
    <row r="107" spans="2:12" x14ac:dyDescent="0.3">
      <c r="B107" s="4">
        <v>97</v>
      </c>
      <c r="C107" s="5">
        <v>43045</v>
      </c>
      <c r="D107" s="6">
        <v>3552.8149568223698</v>
      </c>
      <c r="E107" s="6">
        <f t="shared" si="7"/>
        <v>89.960614650191076</v>
      </c>
      <c r="F107" s="11"/>
      <c r="H107" s="4">
        <v>97</v>
      </c>
      <c r="I107" s="5">
        <v>43045</v>
      </c>
      <c r="J107" s="6">
        <v>3552.8149568223698</v>
      </c>
      <c r="K107" s="6">
        <f t="shared" si="6"/>
        <v>4216.1627663782174</v>
      </c>
      <c r="L107" s="7">
        <f t="shared" ref="L107:L138" si="8">(K107^$J$5)/(K107^$J$5 + $J$8^$J$5)</f>
        <v>0.17062664042630163</v>
      </c>
    </row>
    <row r="108" spans="2:12" x14ac:dyDescent="0.3">
      <c r="B108" s="4">
        <v>98</v>
      </c>
      <c r="C108" s="5">
        <v>43052</v>
      </c>
      <c r="D108" s="6">
        <v>7600.1018467675003</v>
      </c>
      <c r="E108" s="6">
        <f t="shared" si="7"/>
        <v>114.16674739518655</v>
      </c>
      <c r="F108" s="11"/>
      <c r="H108" s="4">
        <v>98</v>
      </c>
      <c r="I108" s="5">
        <v>43052</v>
      </c>
      <c r="J108" s="6">
        <v>7600.1018467675003</v>
      </c>
      <c r="K108" s="6">
        <f t="shared" ref="K108:K139" si="9">J108+K107*$J$4</f>
        <v>8076.5993815917482</v>
      </c>
      <c r="L108" s="7">
        <f t="shared" si="8"/>
        <v>0.49102318437199582</v>
      </c>
    </row>
    <row r="109" spans="2:12" x14ac:dyDescent="0.3">
      <c r="B109" s="4">
        <v>99</v>
      </c>
      <c r="C109" s="5">
        <v>43059</v>
      </c>
      <c r="D109" s="6">
        <v>3279.9641552530202</v>
      </c>
      <c r="E109" s="6">
        <f t="shared" si="7"/>
        <v>91.520995532590973</v>
      </c>
      <c r="F109" s="11"/>
      <c r="H109" s="4">
        <v>99</v>
      </c>
      <c r="I109" s="5">
        <v>43059</v>
      </c>
      <c r="J109" s="6">
        <v>3279.9641552530202</v>
      </c>
      <c r="K109" s="6">
        <f t="shared" si="9"/>
        <v>4192.7561674071067</v>
      </c>
      <c r="L109" s="7">
        <f t="shared" si="8"/>
        <v>0.16876200135125971</v>
      </c>
    </row>
    <row r="110" spans="2:12" x14ac:dyDescent="0.3">
      <c r="B110" s="4">
        <v>100</v>
      </c>
      <c r="C110" s="5">
        <v>43066</v>
      </c>
      <c r="D110" s="6">
        <v>2463.7932413317799</v>
      </c>
      <c r="E110" s="6">
        <f t="shared" si="7"/>
        <v>77.092910564013664</v>
      </c>
      <c r="F110" s="11"/>
      <c r="H110" s="4">
        <v>100</v>
      </c>
      <c r="I110" s="5">
        <v>43066</v>
      </c>
      <c r="J110" s="6">
        <v>2463.7932413317799</v>
      </c>
      <c r="K110" s="6">
        <f t="shared" si="9"/>
        <v>2937.6454355165974</v>
      </c>
      <c r="L110" s="7">
        <f t="shared" si="8"/>
        <v>8.016466767257649E-2</v>
      </c>
    </row>
    <row r="111" spans="2:12" x14ac:dyDescent="0.3">
      <c r="B111" s="4">
        <v>101</v>
      </c>
      <c r="C111" s="5">
        <v>43073</v>
      </c>
      <c r="D111" s="6">
        <v>1656.46786461852</v>
      </c>
      <c r="E111" s="6">
        <f t="shared" si="7"/>
        <v>63.827601234862229</v>
      </c>
      <c r="F111" s="11"/>
      <c r="H111" s="4">
        <v>101</v>
      </c>
      <c r="I111" s="5">
        <v>43073</v>
      </c>
      <c r="J111" s="6">
        <v>1656.46786461852</v>
      </c>
      <c r="K111" s="6">
        <f t="shared" si="9"/>
        <v>1988.4713677503044</v>
      </c>
      <c r="L111" s="7">
        <f t="shared" si="8"/>
        <v>3.3317362782551527E-2</v>
      </c>
    </row>
    <row r="112" spans="2:12" x14ac:dyDescent="0.3">
      <c r="B112" s="4">
        <v>102</v>
      </c>
      <c r="C112" s="5">
        <v>43080</v>
      </c>
      <c r="D112" s="6">
        <v>3030.3612399354402</v>
      </c>
      <c r="E112" s="6">
        <f t="shared" si="7"/>
        <v>74.196997339480205</v>
      </c>
      <c r="F112" s="11"/>
      <c r="H112" s="4">
        <v>102</v>
      </c>
      <c r="I112" s="5">
        <v>43080</v>
      </c>
      <c r="J112" s="6">
        <v>3030.3612399354402</v>
      </c>
      <c r="K112" s="6">
        <f t="shared" si="9"/>
        <v>3255.0920573406579</v>
      </c>
      <c r="L112" s="7">
        <f t="shared" si="8"/>
        <v>0.1000937628848257</v>
      </c>
    </row>
    <row r="113" spans="2:12" x14ac:dyDescent="0.3">
      <c r="B113" s="4">
        <v>103</v>
      </c>
      <c r="C113" s="5">
        <v>43087</v>
      </c>
      <c r="D113" s="6">
        <v>1011.87769166753</v>
      </c>
      <c r="E113" s="6">
        <f t="shared" si="7"/>
        <v>54.069124220185842</v>
      </c>
      <c r="F113" s="11"/>
      <c r="H113" s="4">
        <v>103</v>
      </c>
      <c r="I113" s="5">
        <v>43087</v>
      </c>
      <c r="J113" s="6">
        <v>1011.87769166753</v>
      </c>
      <c r="K113" s="6">
        <f t="shared" si="9"/>
        <v>1379.7580195613214</v>
      </c>
      <c r="L113" s="7">
        <f t="shared" si="8"/>
        <v>1.4251280201301831E-2</v>
      </c>
    </row>
    <row r="114" spans="2:12" x14ac:dyDescent="0.3">
      <c r="B114" s="4">
        <v>104</v>
      </c>
      <c r="C114" s="5">
        <v>43094</v>
      </c>
      <c r="D114" s="6">
        <v>7226.54800621497</v>
      </c>
      <c r="E114" s="6">
        <f t="shared" si="7"/>
        <v>101.22984269726805</v>
      </c>
      <c r="F114" s="11"/>
      <c r="H114" s="4">
        <v>104</v>
      </c>
      <c r="I114" s="5">
        <v>43094</v>
      </c>
      <c r="J114" s="6">
        <v>7226.54800621497</v>
      </c>
      <c r="K114" s="6">
        <f t="shared" si="9"/>
        <v>7382.4839440344967</v>
      </c>
      <c r="L114" s="7">
        <f t="shared" si="8"/>
        <v>0.43793987654690175</v>
      </c>
    </row>
    <row r="115" spans="2:12" x14ac:dyDescent="0.3">
      <c r="B115" s="4">
        <v>105</v>
      </c>
      <c r="C115" s="5">
        <v>43101</v>
      </c>
      <c r="D115" s="6">
        <v>4281.2109246028303</v>
      </c>
      <c r="E115" s="6">
        <f t="shared" si="7"/>
        <v>95.799915851174759</v>
      </c>
      <c r="F115" s="11"/>
      <c r="H115" s="4">
        <v>105</v>
      </c>
      <c r="I115" s="5">
        <v>43101</v>
      </c>
      <c r="J115" s="6">
        <v>4281.2109246028303</v>
      </c>
      <c r="K115" s="6">
        <f t="shared" si="9"/>
        <v>5115.5561800242303</v>
      </c>
      <c r="L115" s="7">
        <f t="shared" si="8"/>
        <v>0.24572619761292988</v>
      </c>
    </row>
    <row r="116" spans="2:12" x14ac:dyDescent="0.3">
      <c r="B116" s="4">
        <v>106</v>
      </c>
      <c r="C116" s="5">
        <v>43108</v>
      </c>
      <c r="D116" s="6">
        <v>5472.97695689383</v>
      </c>
      <c r="E116" s="6">
        <f t="shared" si="7"/>
        <v>102.71954596858555</v>
      </c>
      <c r="F116" s="11"/>
      <c r="H116" s="4">
        <v>106</v>
      </c>
      <c r="I116" s="5">
        <v>43108</v>
      </c>
      <c r="J116" s="6">
        <v>5472.97695689383</v>
      </c>
      <c r="K116" s="6">
        <f t="shared" si="9"/>
        <v>6051.1211235457276</v>
      </c>
      <c r="L116" s="7">
        <f t="shared" si="8"/>
        <v>0.32689312598455222</v>
      </c>
    </row>
    <row r="117" spans="2:12" x14ac:dyDescent="0.3">
      <c r="B117" s="4">
        <v>107</v>
      </c>
      <c r="C117" s="5">
        <v>43115</v>
      </c>
      <c r="D117" s="6">
        <v>0</v>
      </c>
      <c r="E117" s="6">
        <f t="shared" si="7"/>
        <v>30.815863790575662</v>
      </c>
      <c r="F117" s="11"/>
      <c r="H117" s="4">
        <v>107</v>
      </c>
      <c r="I117" s="5">
        <v>43115</v>
      </c>
      <c r="J117" s="6">
        <v>0</v>
      </c>
      <c r="K117" s="6">
        <f t="shared" si="9"/>
        <v>683.87879170265842</v>
      </c>
      <c r="L117" s="7">
        <f t="shared" si="8"/>
        <v>2.7182008481907013E-3</v>
      </c>
    </row>
    <row r="118" spans="2:12" x14ac:dyDescent="0.3">
      <c r="B118" s="4">
        <v>108</v>
      </c>
      <c r="C118" s="5">
        <v>43122</v>
      </c>
      <c r="D118" s="6">
        <v>0</v>
      </c>
      <c r="E118" s="6">
        <f t="shared" si="7"/>
        <v>9.2447591371726983</v>
      </c>
      <c r="F118" s="11"/>
      <c r="H118" s="4">
        <v>108</v>
      </c>
      <c r="I118" s="5">
        <v>43122</v>
      </c>
      <c r="J118" s="6">
        <v>0</v>
      </c>
      <c r="K118" s="6">
        <f t="shared" si="9"/>
        <v>77.289843021129172</v>
      </c>
      <c r="L118" s="7">
        <f t="shared" si="8"/>
        <v>1.5296740367809798E-5</v>
      </c>
    </row>
    <row r="119" spans="2:12" x14ac:dyDescent="0.3">
      <c r="B119" s="4">
        <v>109</v>
      </c>
      <c r="C119" s="5">
        <v>43129</v>
      </c>
      <c r="D119" s="6">
        <v>0</v>
      </c>
      <c r="E119" s="6">
        <f t="shared" si="7"/>
        <v>2.7734277411518096</v>
      </c>
      <c r="F119" s="11"/>
      <c r="H119" s="4">
        <v>109</v>
      </c>
      <c r="I119" s="5">
        <v>43129</v>
      </c>
      <c r="J119" s="6">
        <v>0</v>
      </c>
      <c r="K119" s="6">
        <f t="shared" si="9"/>
        <v>8.7350564262388843</v>
      </c>
      <c r="L119" s="7">
        <f t="shared" si="8"/>
        <v>8.5851401578356907E-8</v>
      </c>
    </row>
    <row r="120" spans="2:12" x14ac:dyDescent="0.3">
      <c r="B120" s="4">
        <v>110</v>
      </c>
      <c r="C120" s="5">
        <v>43136</v>
      </c>
      <c r="D120" s="6">
        <v>472.98034791960998</v>
      </c>
      <c r="E120" s="6">
        <f t="shared" si="7"/>
        <v>22.58013968677464</v>
      </c>
      <c r="F120" s="11"/>
      <c r="H120" s="4">
        <v>110</v>
      </c>
      <c r="I120" s="5">
        <v>43136</v>
      </c>
      <c r="J120" s="6">
        <v>472.98034791960998</v>
      </c>
      <c r="K120" s="6">
        <f t="shared" si="9"/>
        <v>473.96755668840922</v>
      </c>
      <c r="L120" s="7">
        <f t="shared" si="8"/>
        <v>1.138800436242549E-3</v>
      </c>
    </row>
    <row r="121" spans="2:12" x14ac:dyDescent="0.3">
      <c r="B121" s="4">
        <v>111</v>
      </c>
      <c r="C121" s="5">
        <v>43143</v>
      </c>
      <c r="D121" s="6">
        <v>0</v>
      </c>
      <c r="E121" s="6">
        <f t="shared" si="7"/>
        <v>6.7740419060323918</v>
      </c>
      <c r="F121" s="11"/>
      <c r="H121" s="4">
        <v>111</v>
      </c>
      <c r="I121" s="5">
        <v>43143</v>
      </c>
      <c r="J121" s="6">
        <v>0</v>
      </c>
      <c r="K121" s="6">
        <f t="shared" si="9"/>
        <v>53.566331487411858</v>
      </c>
      <c r="L121" s="7">
        <f t="shared" si="8"/>
        <v>6.3985503349399428E-6</v>
      </c>
    </row>
    <row r="122" spans="2:12" x14ac:dyDescent="0.3">
      <c r="B122" s="4">
        <v>112</v>
      </c>
      <c r="C122" s="5">
        <v>43150</v>
      </c>
      <c r="D122" s="6">
        <v>0</v>
      </c>
      <c r="E122" s="6">
        <f t="shared" si="7"/>
        <v>2.0322125718097173</v>
      </c>
      <c r="F122" s="11"/>
      <c r="H122" s="4">
        <v>112</v>
      </c>
      <c r="I122" s="5">
        <v>43150</v>
      </c>
      <c r="J122" s="6">
        <v>0</v>
      </c>
      <c r="K122" s="6">
        <f t="shared" si="9"/>
        <v>6.0538993197494957</v>
      </c>
      <c r="L122" s="7">
        <f t="shared" si="8"/>
        <v>3.5910896081386462E-8</v>
      </c>
    </row>
    <row r="123" spans="2:12" x14ac:dyDescent="0.3">
      <c r="B123" s="4">
        <v>113</v>
      </c>
      <c r="C123" s="5">
        <v>43157</v>
      </c>
      <c r="D123" s="6">
        <v>0</v>
      </c>
      <c r="E123" s="6">
        <f t="shared" si="7"/>
        <v>0.60966377154291518</v>
      </c>
      <c r="F123" s="11"/>
      <c r="H123" s="4">
        <v>113</v>
      </c>
      <c r="I123" s="5">
        <v>43157</v>
      </c>
      <c r="J123" s="6">
        <v>0</v>
      </c>
      <c r="K123" s="6">
        <f t="shared" si="9"/>
        <v>0.68419277475210571</v>
      </c>
      <c r="L123" s="7">
        <f t="shared" si="8"/>
        <v>2.0154319817792601E-10</v>
      </c>
    </row>
    <row r="124" spans="2:12" x14ac:dyDescent="0.3">
      <c r="B124" s="4">
        <v>114</v>
      </c>
      <c r="C124" s="5">
        <v>43164</v>
      </c>
      <c r="D124" s="6">
        <v>0</v>
      </c>
      <c r="E124" s="6">
        <f t="shared" si="7"/>
        <v>0.18289913146287454</v>
      </c>
      <c r="F124" s="11"/>
      <c r="H124" s="4">
        <v>114</v>
      </c>
      <c r="I124" s="5">
        <v>43164</v>
      </c>
      <c r="J124" s="6">
        <v>0</v>
      </c>
      <c r="K124" s="6">
        <f t="shared" si="9"/>
        <v>7.732532840376935E-2</v>
      </c>
      <c r="L124" s="7">
        <f t="shared" si="8"/>
        <v>1.1311235229933398E-12</v>
      </c>
    </row>
    <row r="125" spans="2:12" x14ac:dyDescent="0.3">
      <c r="B125" s="4">
        <v>115</v>
      </c>
      <c r="C125" s="5">
        <v>43171</v>
      </c>
      <c r="D125" s="6">
        <v>0</v>
      </c>
      <c r="E125" s="6">
        <f t="shared" si="7"/>
        <v>5.4869739438862357E-2</v>
      </c>
      <c r="F125" s="11"/>
      <c r="H125" s="4">
        <v>115</v>
      </c>
      <c r="I125" s="5">
        <v>43171</v>
      </c>
      <c r="J125" s="6">
        <v>0</v>
      </c>
      <c r="K125" s="6">
        <f t="shared" si="9"/>
        <v>8.7390668732465707E-3</v>
      </c>
      <c r="L125" s="7">
        <f t="shared" si="8"/>
        <v>6.3482193176490949E-15</v>
      </c>
    </row>
    <row r="126" spans="2:12" x14ac:dyDescent="0.3">
      <c r="B126" s="4">
        <v>116</v>
      </c>
      <c r="C126" s="5">
        <v>43178</v>
      </c>
      <c r="D126" s="6">
        <v>0</v>
      </c>
      <c r="E126" s="6">
        <f t="shared" si="7"/>
        <v>1.6460921831658707E-2</v>
      </c>
      <c r="F126" s="11"/>
      <c r="H126" s="4">
        <v>116</v>
      </c>
      <c r="I126" s="5">
        <v>43178</v>
      </c>
      <c r="J126" s="6">
        <v>0</v>
      </c>
      <c r="K126" s="6">
        <f t="shared" si="9"/>
        <v>9.8766201698217092E-4</v>
      </c>
      <c r="L126" s="7">
        <f t="shared" si="8"/>
        <v>3.5628194167760543E-17</v>
      </c>
    </row>
    <row r="127" spans="2:12" x14ac:dyDescent="0.3">
      <c r="B127" s="4">
        <v>117</v>
      </c>
      <c r="C127" s="5">
        <v>43185</v>
      </c>
      <c r="D127" s="6">
        <v>0</v>
      </c>
      <c r="E127" s="6">
        <f t="shared" si="7"/>
        <v>4.9382765494976116E-3</v>
      </c>
      <c r="F127" s="11"/>
      <c r="H127" s="4">
        <v>117</v>
      </c>
      <c r="I127" s="5">
        <v>43185</v>
      </c>
      <c r="J127" s="6">
        <v>0</v>
      </c>
      <c r="K127" s="6">
        <f t="shared" si="9"/>
        <v>1.1162247342168465E-4</v>
      </c>
      <c r="L127" s="7">
        <f t="shared" si="8"/>
        <v>1.9995657933975056E-19</v>
      </c>
    </row>
    <row r="128" spans="2:12" x14ac:dyDescent="0.3">
      <c r="B128" s="4">
        <v>118</v>
      </c>
      <c r="C128" s="5">
        <v>43192</v>
      </c>
      <c r="D128" s="6">
        <v>0</v>
      </c>
      <c r="E128" s="6">
        <f t="shared" si="7"/>
        <v>1.4814829648492835E-3</v>
      </c>
      <c r="F128" s="11"/>
      <c r="H128" s="4">
        <v>118</v>
      </c>
      <c r="I128" s="5">
        <v>43192</v>
      </c>
      <c r="J128" s="6">
        <v>0</v>
      </c>
      <c r="K128" s="6">
        <f t="shared" si="9"/>
        <v>1.2615222979663917E-5</v>
      </c>
      <c r="L128" s="7">
        <f t="shared" si="8"/>
        <v>1.1222189211440215E-21</v>
      </c>
    </row>
    <row r="129" spans="2:12" x14ac:dyDescent="0.3">
      <c r="B129" s="4">
        <v>119</v>
      </c>
      <c r="C129" s="5">
        <v>43199</v>
      </c>
      <c r="D129" s="6">
        <v>0</v>
      </c>
      <c r="E129" s="6">
        <f t="shared" si="7"/>
        <v>4.44444889454785E-4</v>
      </c>
      <c r="F129" s="11"/>
      <c r="H129" s="4">
        <v>119</v>
      </c>
      <c r="I129" s="5">
        <v>43199</v>
      </c>
      <c r="J129" s="6">
        <v>0</v>
      </c>
      <c r="K129" s="6">
        <f t="shared" si="9"/>
        <v>1.4257330620638623E-6</v>
      </c>
      <c r="L129" s="7">
        <f t="shared" si="8"/>
        <v>6.2982439044119882E-24</v>
      </c>
    </row>
    <row r="130" spans="2:12" x14ac:dyDescent="0.3">
      <c r="B130" s="4">
        <v>120</v>
      </c>
      <c r="C130" s="5">
        <v>43206</v>
      </c>
      <c r="D130" s="6">
        <v>2113.26047838464</v>
      </c>
      <c r="E130" s="6">
        <f t="shared" si="7"/>
        <v>45.970346280381058</v>
      </c>
      <c r="F130" s="11"/>
      <c r="H130" s="4">
        <v>120</v>
      </c>
      <c r="I130" s="5">
        <v>43206</v>
      </c>
      <c r="J130" s="6">
        <v>2113.26047838464</v>
      </c>
      <c r="K130" s="6">
        <f t="shared" si="9"/>
        <v>2113.260478545772</v>
      </c>
      <c r="L130" s="7">
        <f t="shared" si="8"/>
        <v>3.8305550260736475E-2</v>
      </c>
    </row>
    <row r="131" spans="2:12" x14ac:dyDescent="0.3">
      <c r="B131" s="4">
        <v>121</v>
      </c>
      <c r="C131" s="5">
        <v>43213</v>
      </c>
      <c r="D131" s="6">
        <v>0</v>
      </c>
      <c r="E131" s="6">
        <f t="shared" si="7"/>
        <v>13.791103884114317</v>
      </c>
      <c r="F131" s="11"/>
      <c r="H131" s="4">
        <v>121</v>
      </c>
      <c r="I131" s="5">
        <v>43213</v>
      </c>
      <c r="J131" s="6">
        <v>0</v>
      </c>
      <c r="K131" s="6">
        <f t="shared" si="9"/>
        <v>238.83409257787648</v>
      </c>
      <c r="L131" s="7">
        <f t="shared" si="8"/>
        <v>2.2349582262190735E-4</v>
      </c>
    </row>
    <row r="132" spans="2:12" x14ac:dyDescent="0.3">
      <c r="B132" s="4">
        <v>122</v>
      </c>
      <c r="C132" s="5">
        <v>43220</v>
      </c>
      <c r="D132" s="6">
        <v>12800.597299122701</v>
      </c>
      <c r="E132" s="6">
        <f t="shared" si="7"/>
        <v>117.27705583841309</v>
      </c>
      <c r="F132" s="11"/>
      <c r="H132" s="4">
        <v>122</v>
      </c>
      <c r="I132" s="5">
        <v>43220</v>
      </c>
      <c r="J132" s="6">
        <v>12800.597299122701</v>
      </c>
      <c r="K132" s="6">
        <f t="shared" si="9"/>
        <v>12827.589581596441</v>
      </c>
      <c r="L132" s="7">
        <f t="shared" si="8"/>
        <v>0.74342406163858354</v>
      </c>
    </row>
    <row r="133" spans="2:12" x14ac:dyDescent="0.3">
      <c r="B133" s="4">
        <v>123</v>
      </c>
      <c r="C133" s="5">
        <v>43227</v>
      </c>
      <c r="D133" s="6">
        <v>0</v>
      </c>
      <c r="E133" s="6">
        <f t="shared" si="7"/>
        <v>35.183116751523926</v>
      </c>
      <c r="F133" s="11"/>
      <c r="H133" s="4">
        <v>123</v>
      </c>
      <c r="I133" s="5">
        <v>43227</v>
      </c>
      <c r="J133" s="6">
        <v>0</v>
      </c>
      <c r="K133" s="6">
        <f t="shared" si="9"/>
        <v>1449.7340714904451</v>
      </c>
      <c r="L133" s="7">
        <f t="shared" si="8"/>
        <v>1.6001366442266823E-2</v>
      </c>
    </row>
    <row r="134" spans="2:12" x14ac:dyDescent="0.3">
      <c r="B134" s="4">
        <v>124</v>
      </c>
      <c r="C134" s="5">
        <v>43234</v>
      </c>
      <c r="D134" s="6">
        <v>13040.4474426468</v>
      </c>
      <c r="E134" s="6">
        <f t="shared" si="7"/>
        <v>124.7497135516525</v>
      </c>
      <c r="F134" s="11"/>
      <c r="H134" s="4">
        <v>124</v>
      </c>
      <c r="I134" s="5">
        <v>43234</v>
      </c>
      <c r="J134" s="6">
        <v>13040.4474426468</v>
      </c>
      <c r="K134" s="6">
        <f t="shared" si="9"/>
        <v>13204.291855088526</v>
      </c>
      <c r="L134" s="7">
        <f t="shared" si="8"/>
        <v>0.75632696120497556</v>
      </c>
    </row>
    <row r="135" spans="2:12" x14ac:dyDescent="0.3">
      <c r="B135" s="4">
        <v>125</v>
      </c>
      <c r="C135" s="5">
        <v>43241</v>
      </c>
      <c r="D135" s="6">
        <v>0</v>
      </c>
      <c r="E135" s="6">
        <f t="shared" si="7"/>
        <v>37.424914065495749</v>
      </c>
      <c r="F135" s="11"/>
      <c r="H135" s="4">
        <v>125</v>
      </c>
      <c r="I135" s="5">
        <v>43241</v>
      </c>
      <c r="J135" s="6">
        <v>0</v>
      </c>
      <c r="K135" s="6">
        <f t="shared" si="9"/>
        <v>1492.3077847524357</v>
      </c>
      <c r="L135" s="7">
        <f t="shared" si="8"/>
        <v>1.7121578120241038E-2</v>
      </c>
    </row>
    <row r="136" spans="2:12" x14ac:dyDescent="0.3">
      <c r="B136" s="4">
        <v>126</v>
      </c>
      <c r="C136" s="5">
        <v>43248</v>
      </c>
      <c r="D136" s="6">
        <v>1009.04258358804</v>
      </c>
      <c r="E136" s="6">
        <f t="shared" si="7"/>
        <v>42.992904857183611</v>
      </c>
      <c r="F136" s="11"/>
      <c r="H136" s="4">
        <v>126</v>
      </c>
      <c r="I136" s="5">
        <v>43248</v>
      </c>
      <c r="J136" s="6">
        <v>1009.04258358804</v>
      </c>
      <c r="K136" s="6">
        <f t="shared" si="9"/>
        <v>1177.6985440040098</v>
      </c>
      <c r="L136" s="7">
        <f t="shared" si="8"/>
        <v>9.824789258145011E-3</v>
      </c>
    </row>
    <row r="137" spans="2:12" x14ac:dyDescent="0.3">
      <c r="B137" s="4">
        <v>127</v>
      </c>
      <c r="C137" s="5">
        <v>43255</v>
      </c>
      <c r="D137" s="6">
        <v>0</v>
      </c>
      <c r="E137" s="6">
        <f t="shared" si="7"/>
        <v>12.897871457155082</v>
      </c>
      <c r="F137" s="11"/>
      <c r="H137" s="4">
        <v>127</v>
      </c>
      <c r="I137" s="5">
        <v>43255</v>
      </c>
      <c r="J137" s="6">
        <v>0</v>
      </c>
      <c r="K137" s="6">
        <f t="shared" si="9"/>
        <v>133.0998075925981</v>
      </c>
      <c r="L137" s="7">
        <f t="shared" si="8"/>
        <v>5.5683804288596574E-5</v>
      </c>
    </row>
    <row r="138" spans="2:12" x14ac:dyDescent="0.3">
      <c r="B138" s="4">
        <v>128</v>
      </c>
      <c r="C138" s="5">
        <v>43262</v>
      </c>
      <c r="D138" s="6">
        <v>0</v>
      </c>
      <c r="E138" s="6">
        <f t="shared" si="7"/>
        <v>3.8693614371465244</v>
      </c>
      <c r="F138" s="11"/>
      <c r="H138" s="4">
        <v>128</v>
      </c>
      <c r="I138" s="5">
        <v>43262</v>
      </c>
      <c r="J138" s="6">
        <v>0</v>
      </c>
      <c r="K138" s="6">
        <f t="shared" si="9"/>
        <v>15.042524142855962</v>
      </c>
      <c r="L138" s="7">
        <f t="shared" si="8"/>
        <v>3.1253224720878309E-7</v>
      </c>
    </row>
    <row r="139" spans="2:12" x14ac:dyDescent="0.3">
      <c r="B139" s="4">
        <v>129</v>
      </c>
      <c r="C139" s="5">
        <v>43269</v>
      </c>
      <c r="D139" s="6">
        <v>0</v>
      </c>
      <c r="E139" s="6">
        <f t="shared" si="7"/>
        <v>1.1608084311439573</v>
      </c>
      <c r="F139" s="11"/>
      <c r="H139" s="4">
        <v>129</v>
      </c>
      <c r="I139" s="5">
        <v>43269</v>
      </c>
      <c r="J139" s="6">
        <v>0</v>
      </c>
      <c r="K139" s="6">
        <f t="shared" si="9"/>
        <v>1.7000590510319278</v>
      </c>
      <c r="L139" s="7">
        <f t="shared" ref="L139:L167" si="10">(K139^$J$5)/(K139^$J$5 + $J$8^$J$5)</f>
        <v>1.7540293569864433E-9</v>
      </c>
    </row>
    <row r="140" spans="2:12" x14ac:dyDescent="0.3">
      <c r="B140" s="4">
        <v>130</v>
      </c>
      <c r="C140" s="5">
        <v>43276</v>
      </c>
      <c r="D140" s="6">
        <v>3756.9427385450699</v>
      </c>
      <c r="E140" s="6">
        <f t="shared" si="7"/>
        <v>61.642147108388158</v>
      </c>
      <c r="F140" s="11"/>
      <c r="H140" s="4">
        <v>130</v>
      </c>
      <c r="I140" s="5">
        <v>43276</v>
      </c>
      <c r="J140" s="6">
        <v>3756.9427385450699</v>
      </c>
      <c r="K140" s="6">
        <f t="shared" ref="K140:K167" si="11">J140+K139*$J$4</f>
        <v>3757.1348739041059</v>
      </c>
      <c r="L140" s="7">
        <f t="shared" si="10"/>
        <v>0.13526253619607573</v>
      </c>
    </row>
    <row r="141" spans="2:12" x14ac:dyDescent="0.3">
      <c r="B141" s="4">
        <v>131</v>
      </c>
      <c r="C141" s="5">
        <v>43283</v>
      </c>
      <c r="D141" s="6">
        <v>0</v>
      </c>
      <c r="E141" s="6">
        <f t="shared" ref="E141:E167" si="12">D141^$D$5+E140*$D$4</f>
        <v>18.492644132516446</v>
      </c>
      <c r="F141" s="11"/>
      <c r="H141" s="4">
        <v>131</v>
      </c>
      <c r="I141" s="5">
        <v>43283</v>
      </c>
      <c r="J141" s="6">
        <v>0</v>
      </c>
      <c r="K141" s="6">
        <f t="shared" si="11"/>
        <v>424.61963748031445</v>
      </c>
      <c r="L141" s="7">
        <f t="shared" si="10"/>
        <v>8.7710997190373007E-4</v>
      </c>
    </row>
    <row r="142" spans="2:12" x14ac:dyDescent="0.3">
      <c r="B142" s="4">
        <v>132</v>
      </c>
      <c r="C142" s="5">
        <v>43290</v>
      </c>
      <c r="D142" s="6">
        <v>8079.8021338158296</v>
      </c>
      <c r="E142" s="6">
        <f t="shared" si="12"/>
        <v>95.435512833789744</v>
      </c>
      <c r="F142" s="11"/>
      <c r="H142" s="4">
        <v>132</v>
      </c>
      <c r="I142" s="5">
        <v>43290</v>
      </c>
      <c r="J142" s="6">
        <v>8079.8021338158296</v>
      </c>
      <c r="K142" s="6">
        <f t="shared" si="11"/>
        <v>8127.7913177512355</v>
      </c>
      <c r="L142" s="7">
        <f t="shared" si="10"/>
        <v>0.49477735961102198</v>
      </c>
    </row>
    <row r="143" spans="2:12" x14ac:dyDescent="0.3">
      <c r="B143" s="4">
        <v>133</v>
      </c>
      <c r="C143" s="5">
        <v>43297</v>
      </c>
      <c r="D143" s="6">
        <v>0</v>
      </c>
      <c r="E143" s="6">
        <f t="shared" si="12"/>
        <v>28.630653850136923</v>
      </c>
      <c r="F143" s="11"/>
      <c r="H143" s="4">
        <v>133</v>
      </c>
      <c r="I143" s="5">
        <v>43297</v>
      </c>
      <c r="J143" s="6">
        <v>0</v>
      </c>
      <c r="K143" s="6">
        <f t="shared" si="11"/>
        <v>918.57756473697009</v>
      </c>
      <c r="L143" s="7">
        <f t="shared" si="10"/>
        <v>5.4662367056302784E-3</v>
      </c>
    </row>
    <row r="144" spans="2:12" x14ac:dyDescent="0.3">
      <c r="B144" s="4">
        <v>134</v>
      </c>
      <c r="C144" s="5">
        <v>43304</v>
      </c>
      <c r="D144" s="6">
        <v>0</v>
      </c>
      <c r="E144" s="6">
        <f t="shared" si="12"/>
        <v>8.5891961550410763</v>
      </c>
      <c r="F144" s="11"/>
      <c r="H144" s="4">
        <v>134</v>
      </c>
      <c r="I144" s="5">
        <v>43304</v>
      </c>
      <c r="J144" s="6">
        <v>0</v>
      </c>
      <c r="K144" s="6">
        <f t="shared" si="11"/>
        <v>103.81476460834595</v>
      </c>
      <c r="L144" s="7">
        <f t="shared" si="10"/>
        <v>3.0845896310997455E-5</v>
      </c>
    </row>
    <row r="145" spans="2:12" x14ac:dyDescent="0.3">
      <c r="B145" s="4">
        <v>135</v>
      </c>
      <c r="C145" s="5">
        <v>43311</v>
      </c>
      <c r="D145" s="6">
        <v>0</v>
      </c>
      <c r="E145" s="6">
        <f t="shared" si="12"/>
        <v>2.5767588465123228</v>
      </c>
      <c r="F145" s="11"/>
      <c r="H145" s="4">
        <v>135</v>
      </c>
      <c r="I145" s="5">
        <v>43311</v>
      </c>
      <c r="J145" s="6">
        <v>0</v>
      </c>
      <c r="K145" s="6">
        <f t="shared" si="11"/>
        <v>11.732820138898518</v>
      </c>
      <c r="L145" s="7">
        <f t="shared" si="10"/>
        <v>1.7312213677092823E-7</v>
      </c>
    </row>
    <row r="146" spans="2:12" x14ac:dyDescent="0.3">
      <c r="B146" s="4">
        <v>136</v>
      </c>
      <c r="C146" s="5">
        <v>43318</v>
      </c>
      <c r="D146" s="6">
        <v>0</v>
      </c>
      <c r="E146" s="6">
        <f t="shared" si="12"/>
        <v>0.77302765395369677</v>
      </c>
      <c r="F146" s="11"/>
      <c r="H146" s="4">
        <v>136</v>
      </c>
      <c r="I146" s="5">
        <v>43318</v>
      </c>
      <c r="J146" s="6">
        <v>0</v>
      </c>
      <c r="K146" s="6">
        <f t="shared" si="11"/>
        <v>1.3260066516653821</v>
      </c>
      <c r="L146" s="7">
        <f t="shared" si="10"/>
        <v>9.7161579599079982E-10</v>
      </c>
    </row>
    <row r="147" spans="2:12" x14ac:dyDescent="0.3">
      <c r="B147" s="4">
        <v>137</v>
      </c>
      <c r="C147" s="5">
        <v>43325</v>
      </c>
      <c r="D147" s="6">
        <v>4450.7503877558702</v>
      </c>
      <c r="E147" s="6">
        <f t="shared" si="12"/>
        <v>66.945852773752932</v>
      </c>
      <c r="F147" s="11"/>
      <c r="H147" s="4">
        <v>137</v>
      </c>
      <c r="I147" s="5">
        <v>43325</v>
      </c>
      <c r="J147" s="6">
        <v>4450.7503877558702</v>
      </c>
      <c r="K147" s="6">
        <f t="shared" si="11"/>
        <v>4450.9002488821334</v>
      </c>
      <c r="L147" s="7">
        <f t="shared" si="10"/>
        <v>0.18963336697561656</v>
      </c>
    </row>
    <row r="148" spans="2:12" x14ac:dyDescent="0.3">
      <c r="B148" s="4">
        <v>138</v>
      </c>
      <c r="C148" s="5">
        <v>43332</v>
      </c>
      <c r="D148" s="6">
        <v>0</v>
      </c>
      <c r="E148" s="6">
        <f t="shared" si="12"/>
        <v>20.083755832125878</v>
      </c>
      <c r="F148" s="11"/>
      <c r="H148" s="4">
        <v>138</v>
      </c>
      <c r="I148" s="5">
        <v>43332</v>
      </c>
      <c r="J148" s="6">
        <v>0</v>
      </c>
      <c r="K148" s="6">
        <f t="shared" si="11"/>
        <v>503.02683123470166</v>
      </c>
      <c r="L148" s="7">
        <f t="shared" si="10"/>
        <v>1.3116111330320241E-3</v>
      </c>
    </row>
    <row r="149" spans="2:12" x14ac:dyDescent="0.3">
      <c r="B149" s="4">
        <v>139</v>
      </c>
      <c r="C149" s="5">
        <v>43339</v>
      </c>
      <c r="D149" s="6">
        <v>4508.4731882541</v>
      </c>
      <c r="E149" s="6">
        <f t="shared" si="12"/>
        <v>73.170291789676952</v>
      </c>
      <c r="F149" s="11"/>
      <c r="H149" s="4">
        <v>139</v>
      </c>
      <c r="I149" s="5">
        <v>43339</v>
      </c>
      <c r="J149" s="6">
        <v>4508.4731882541</v>
      </c>
      <c r="K149" s="6">
        <f t="shared" si="11"/>
        <v>4565.3237081024336</v>
      </c>
      <c r="L149" s="7">
        <f t="shared" si="10"/>
        <v>0.19908006489357719</v>
      </c>
    </row>
    <row r="150" spans="2:12" x14ac:dyDescent="0.3">
      <c r="B150" s="4">
        <v>140</v>
      </c>
      <c r="C150" s="5">
        <v>43346</v>
      </c>
      <c r="D150" s="6">
        <v>0</v>
      </c>
      <c r="E150" s="6">
        <f t="shared" si="12"/>
        <v>21.951087536903085</v>
      </c>
      <c r="F150" s="11"/>
      <c r="H150" s="4">
        <v>140</v>
      </c>
      <c r="I150" s="5">
        <v>43346</v>
      </c>
      <c r="J150" s="6">
        <v>0</v>
      </c>
      <c r="K150" s="6">
        <f t="shared" si="11"/>
        <v>515.95861287257515</v>
      </c>
      <c r="L150" s="7">
        <f t="shared" si="10"/>
        <v>1.3930770284191554E-3</v>
      </c>
    </row>
    <row r="151" spans="2:12" x14ac:dyDescent="0.3">
      <c r="B151" s="4">
        <v>141</v>
      </c>
      <c r="C151" s="5">
        <v>43353</v>
      </c>
      <c r="D151" s="6">
        <v>0</v>
      </c>
      <c r="E151" s="6">
        <f t="shared" si="12"/>
        <v>6.5853262610709251</v>
      </c>
      <c r="F151" s="11"/>
      <c r="H151" s="4">
        <v>141</v>
      </c>
      <c r="I151" s="5">
        <v>43353</v>
      </c>
      <c r="J151" s="6">
        <v>0</v>
      </c>
      <c r="K151" s="6">
        <f t="shared" si="11"/>
        <v>58.312029380287434</v>
      </c>
      <c r="L151" s="7">
        <f t="shared" si="10"/>
        <v>7.8292299049801505E-6</v>
      </c>
    </row>
    <row r="152" spans="2:12" x14ac:dyDescent="0.3">
      <c r="B152" s="4">
        <v>142</v>
      </c>
      <c r="C152" s="5">
        <v>43360</v>
      </c>
      <c r="D152" s="6">
        <v>3402.8944415793699</v>
      </c>
      <c r="E152" s="6">
        <f t="shared" si="12"/>
        <v>60.309931178525972</v>
      </c>
      <c r="F152" s="11"/>
      <c r="H152" s="4">
        <v>142</v>
      </c>
      <c r="I152" s="5">
        <v>43360</v>
      </c>
      <c r="J152" s="6">
        <v>3402.8944415793699</v>
      </c>
      <c r="K152" s="6">
        <f t="shared" si="11"/>
        <v>3409.4846848384495</v>
      </c>
      <c r="L152" s="7">
        <f t="shared" si="10"/>
        <v>0.11046277291796919</v>
      </c>
    </row>
    <row r="153" spans="2:12" x14ac:dyDescent="0.3">
      <c r="B153" s="4">
        <v>143</v>
      </c>
      <c r="C153" s="5">
        <v>43367</v>
      </c>
      <c r="D153" s="6">
        <v>0</v>
      </c>
      <c r="E153" s="6">
        <f t="shared" si="12"/>
        <v>18.092979353557791</v>
      </c>
      <c r="F153" s="11"/>
      <c r="H153" s="4">
        <v>143</v>
      </c>
      <c r="I153" s="5">
        <v>43367</v>
      </c>
      <c r="J153" s="6">
        <v>0</v>
      </c>
      <c r="K153" s="6">
        <f t="shared" si="11"/>
        <v>385.32929997437651</v>
      </c>
      <c r="L153" s="7">
        <f t="shared" si="10"/>
        <v>6.9645190490927788E-4</v>
      </c>
    </row>
    <row r="154" spans="2:12" x14ac:dyDescent="0.3">
      <c r="B154" s="4">
        <v>144</v>
      </c>
      <c r="C154" s="5">
        <v>43374</v>
      </c>
      <c r="D154" s="6">
        <v>916.84486884329306</v>
      </c>
      <c r="E154" s="6">
        <f t="shared" si="12"/>
        <v>35.707340116118864</v>
      </c>
      <c r="F154" s="11"/>
      <c r="H154" s="4">
        <v>144</v>
      </c>
      <c r="I154" s="5">
        <v>43374</v>
      </c>
      <c r="J154" s="6">
        <v>916.84486884329306</v>
      </c>
      <c r="K154" s="6">
        <f t="shared" si="11"/>
        <v>960.39358166755324</v>
      </c>
      <c r="L154" s="7">
        <f t="shared" si="10"/>
        <v>6.0727123961217197E-3</v>
      </c>
    </row>
    <row r="155" spans="2:12" x14ac:dyDescent="0.3">
      <c r="B155" s="4">
        <v>145</v>
      </c>
      <c r="C155" s="5">
        <v>43381</v>
      </c>
      <c r="D155" s="6">
        <v>2015.8461647736499</v>
      </c>
      <c r="E155" s="6">
        <f t="shared" si="12"/>
        <v>55.61037755203958</v>
      </c>
      <c r="F155" s="11"/>
      <c r="H155" s="4">
        <v>145</v>
      </c>
      <c r="I155" s="5">
        <v>43381</v>
      </c>
      <c r="J155" s="6">
        <v>2015.8461647736499</v>
      </c>
      <c r="K155" s="6">
        <f t="shared" si="11"/>
        <v>2124.3868448856583</v>
      </c>
      <c r="L155" s="7">
        <f t="shared" si="10"/>
        <v>3.8768066290227575E-2</v>
      </c>
    </row>
    <row r="156" spans="2:12" x14ac:dyDescent="0.3">
      <c r="B156" s="4">
        <v>146</v>
      </c>
      <c r="C156" s="5">
        <v>43388</v>
      </c>
      <c r="D156" s="6">
        <v>2442.5866328972602</v>
      </c>
      <c r="E156" s="6">
        <f t="shared" si="12"/>
        <v>66.105644897421882</v>
      </c>
      <c r="F156" s="11"/>
      <c r="H156" s="4">
        <v>146</v>
      </c>
      <c r="I156" s="5">
        <v>43388</v>
      </c>
      <c r="J156" s="6">
        <v>2442.5866328972602</v>
      </c>
      <c r="K156" s="6">
        <f t="shared" si="11"/>
        <v>2682.6781926144004</v>
      </c>
      <c r="L156" s="7">
        <f t="shared" si="10"/>
        <v>6.5623632230868909E-2</v>
      </c>
    </row>
    <row r="157" spans="2:12" x14ac:dyDescent="0.3">
      <c r="B157" s="4">
        <v>147</v>
      </c>
      <c r="C157" s="5">
        <v>43395</v>
      </c>
      <c r="D157" s="6">
        <v>0</v>
      </c>
      <c r="E157" s="6">
        <f t="shared" si="12"/>
        <v>19.831693469226565</v>
      </c>
      <c r="F157" s="11"/>
      <c r="H157" s="4">
        <v>147</v>
      </c>
      <c r="I157" s="5">
        <v>43395</v>
      </c>
      <c r="J157" s="6">
        <v>0</v>
      </c>
      <c r="K157" s="6">
        <f t="shared" si="11"/>
        <v>303.18790244561922</v>
      </c>
      <c r="L157" s="7">
        <f t="shared" si="10"/>
        <v>3.9401173453935517E-4</v>
      </c>
    </row>
    <row r="158" spans="2:12" x14ac:dyDescent="0.3">
      <c r="B158" s="4">
        <v>148</v>
      </c>
      <c r="C158" s="5">
        <v>43402</v>
      </c>
      <c r="D158" s="6">
        <v>7931.80949206687</v>
      </c>
      <c r="E158" s="6">
        <f t="shared" si="12"/>
        <v>95.01021482028365</v>
      </c>
      <c r="F158" s="11"/>
      <c r="H158" s="4">
        <v>148</v>
      </c>
      <c r="I158" s="5">
        <v>43402</v>
      </c>
      <c r="J158" s="6">
        <v>7931.80949206687</v>
      </c>
      <c r="K158" s="6">
        <f t="shared" si="11"/>
        <v>7966.0748409419029</v>
      </c>
      <c r="L158" s="7">
        <f t="shared" si="10"/>
        <v>0.48284011598763998</v>
      </c>
    </row>
    <row r="159" spans="2:12" x14ac:dyDescent="0.3">
      <c r="B159" s="4">
        <v>149</v>
      </c>
      <c r="C159" s="5">
        <v>43409</v>
      </c>
      <c r="D159" s="6">
        <v>0</v>
      </c>
      <c r="E159" s="6">
        <f t="shared" si="12"/>
        <v>28.503064446085094</v>
      </c>
      <c r="F159" s="11"/>
      <c r="H159" s="4">
        <v>149</v>
      </c>
      <c r="I159" s="5">
        <v>43409</v>
      </c>
      <c r="J159" s="6">
        <v>0</v>
      </c>
      <c r="K159" s="6">
        <f t="shared" si="11"/>
        <v>900.30087410381793</v>
      </c>
      <c r="L159" s="7">
        <f t="shared" si="10"/>
        <v>5.2125555901691599E-3</v>
      </c>
    </row>
    <row r="160" spans="2:12" x14ac:dyDescent="0.3">
      <c r="B160" s="4">
        <v>150</v>
      </c>
      <c r="C160" s="5">
        <v>43416</v>
      </c>
      <c r="D160" s="6">
        <v>8728.47486240127</v>
      </c>
      <c r="E160" s="6">
        <f t="shared" si="12"/>
        <v>101.9772264555419</v>
      </c>
      <c r="F160" s="11"/>
      <c r="H160" s="4">
        <v>150</v>
      </c>
      <c r="I160" s="5">
        <v>43416</v>
      </c>
      <c r="J160" s="6">
        <v>8728.47486240127</v>
      </c>
      <c r="K160" s="6">
        <f t="shared" si="11"/>
        <v>8830.2240525728575</v>
      </c>
      <c r="L160" s="7">
        <f t="shared" si="10"/>
        <v>0.54392565185435637</v>
      </c>
    </row>
    <row r="161" spans="2:12" x14ac:dyDescent="0.3">
      <c r="B161" s="4">
        <v>151</v>
      </c>
      <c r="C161" s="5">
        <v>43423</v>
      </c>
      <c r="D161" s="6">
        <v>0</v>
      </c>
      <c r="E161" s="6">
        <f t="shared" si="12"/>
        <v>30.593167936662567</v>
      </c>
      <c r="F161" s="11"/>
      <c r="H161" s="4">
        <v>151</v>
      </c>
      <c r="I161" s="5">
        <v>43423</v>
      </c>
      <c r="J161" s="6">
        <v>0</v>
      </c>
      <c r="K161" s="6">
        <f t="shared" si="11"/>
        <v>997.96431640402659</v>
      </c>
      <c r="L161" s="7">
        <f t="shared" si="10"/>
        <v>6.6488811246651486E-3</v>
      </c>
    </row>
    <row r="162" spans="2:12" x14ac:dyDescent="0.3">
      <c r="B162" s="4">
        <v>152</v>
      </c>
      <c r="C162" s="5">
        <v>43430</v>
      </c>
      <c r="D162" s="6">
        <v>7003.5951068445002</v>
      </c>
      <c r="E162" s="6">
        <f t="shared" si="12"/>
        <v>92.865435149299103</v>
      </c>
      <c r="F162" s="11"/>
      <c r="H162" s="4">
        <v>152</v>
      </c>
      <c r="I162" s="5">
        <v>43430</v>
      </c>
      <c r="J162" s="6">
        <v>7003.5951068445002</v>
      </c>
      <c r="K162" s="6">
        <f t="shared" si="11"/>
        <v>7116.3819139386615</v>
      </c>
      <c r="L162" s="7">
        <f t="shared" si="10"/>
        <v>0.41658808674621201</v>
      </c>
    </row>
    <row r="163" spans="2:12" x14ac:dyDescent="0.3">
      <c r="B163" s="4">
        <v>153</v>
      </c>
      <c r="C163" s="5">
        <v>43437</v>
      </c>
      <c r="D163" s="6">
        <v>0</v>
      </c>
      <c r="E163" s="6">
        <f t="shared" si="12"/>
        <v>27.859630544789731</v>
      </c>
      <c r="F163" s="11"/>
      <c r="H163" s="4">
        <v>153</v>
      </c>
      <c r="I163" s="5">
        <v>43437</v>
      </c>
      <c r="J163" s="6">
        <v>0</v>
      </c>
      <c r="K163" s="6">
        <f t="shared" si="11"/>
        <v>804.2712358974062</v>
      </c>
      <c r="L163" s="7">
        <f t="shared" si="10"/>
        <v>3.9915032252909868E-3</v>
      </c>
    </row>
    <row r="164" spans="2:12" x14ac:dyDescent="0.3">
      <c r="B164" s="4">
        <v>154</v>
      </c>
      <c r="C164" s="5">
        <v>43444</v>
      </c>
      <c r="D164" s="6">
        <v>0</v>
      </c>
      <c r="E164" s="6">
        <f t="shared" si="12"/>
        <v>8.3578891634369192</v>
      </c>
      <c r="F164" s="11"/>
      <c r="H164" s="4">
        <v>154</v>
      </c>
      <c r="I164" s="5">
        <v>43444</v>
      </c>
      <c r="J164" s="6">
        <v>0</v>
      </c>
      <c r="K164" s="6">
        <f t="shared" si="11"/>
        <v>90.896220679917349</v>
      </c>
      <c r="L164" s="7">
        <f t="shared" si="10"/>
        <v>2.2490834076865439E-5</v>
      </c>
    </row>
    <row r="165" spans="2:12" x14ac:dyDescent="0.3">
      <c r="B165" s="4">
        <v>155</v>
      </c>
      <c r="C165" s="5">
        <v>43451</v>
      </c>
      <c r="D165" s="6">
        <v>0</v>
      </c>
      <c r="E165" s="6">
        <f t="shared" si="12"/>
        <v>2.5073667490310756</v>
      </c>
      <c r="F165" s="11"/>
      <c r="H165" s="4">
        <v>155</v>
      </c>
      <c r="I165" s="5">
        <v>43451</v>
      </c>
      <c r="J165" s="6">
        <v>0</v>
      </c>
      <c r="K165" s="6">
        <f t="shared" si="11"/>
        <v>10.272806691480586</v>
      </c>
      <c r="L165" s="7">
        <f t="shared" si="10"/>
        <v>1.2622842481098935E-7</v>
      </c>
    </row>
    <row r="166" spans="2:12" x14ac:dyDescent="0.3">
      <c r="B166" s="4">
        <v>156</v>
      </c>
      <c r="C166" s="5">
        <v>43458</v>
      </c>
      <c r="D166" s="6">
        <v>9068.0074060000297</v>
      </c>
      <c r="E166" s="6">
        <f t="shared" si="12"/>
        <v>95.978295768060292</v>
      </c>
      <c r="F166" s="11"/>
      <c r="H166" s="4">
        <v>156</v>
      </c>
      <c r="I166" s="5">
        <v>43458</v>
      </c>
      <c r="J166" s="6">
        <v>9068.0074060000297</v>
      </c>
      <c r="K166" s="6">
        <f t="shared" si="11"/>
        <v>9069.1684064963229</v>
      </c>
      <c r="L166" s="7">
        <f t="shared" si="10"/>
        <v>0.55962200723743882</v>
      </c>
    </row>
    <row r="167" spans="2:12" x14ac:dyDescent="0.3">
      <c r="B167" s="4">
        <v>157</v>
      </c>
      <c r="C167" s="5">
        <v>43465</v>
      </c>
      <c r="D167" s="6">
        <v>0</v>
      </c>
      <c r="E167" s="6">
        <f t="shared" si="12"/>
        <v>28.793488730418087</v>
      </c>
      <c r="F167" s="11"/>
      <c r="H167" s="4">
        <v>157</v>
      </c>
      <c r="I167" s="5">
        <v>43465</v>
      </c>
      <c r="J167" s="6">
        <v>0</v>
      </c>
      <c r="K167" s="6">
        <f t="shared" si="11"/>
        <v>1024.9690602703336</v>
      </c>
      <c r="L167" s="7">
        <f t="shared" si="10"/>
        <v>7.0814904227823631E-3</v>
      </c>
    </row>
    <row r="169" spans="2:12" x14ac:dyDescent="0.3">
      <c r="J169" s="1" t="s">
        <v>6</v>
      </c>
      <c r="K169" s="3">
        <f>MIN(K11:K167)</f>
        <v>1.4257330620638623E-6</v>
      </c>
    </row>
    <row r="170" spans="2:12" x14ac:dyDescent="0.3">
      <c r="J170" s="1" t="s">
        <v>7</v>
      </c>
      <c r="K170" s="3">
        <f>MAX(K11:K167)</f>
        <v>14006.960650066856</v>
      </c>
    </row>
  </sheetData>
  <mergeCells count="2">
    <mergeCell ref="B2:E2"/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 Adstock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Aryma Labs</dc:creator>
  <cp:lastModifiedBy>Aryma Labs</cp:lastModifiedBy>
  <dcterms:created xsi:type="dcterms:W3CDTF">2015-06-05T18:17:20Z</dcterms:created>
  <dcterms:modified xsi:type="dcterms:W3CDTF">2025-01-31T12:56:55Z</dcterms:modified>
</cp:coreProperties>
</file>